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D98ED303-7228-44D3-923F-631D12C88C2F}" xr6:coauthVersionLast="47" xr6:coauthVersionMax="47" xr10:uidLastSave="{00000000-0000-0000-0000-000000000000}"/>
  <bookViews>
    <workbookView xWindow="-120" yWindow="-120" windowWidth="25440" windowHeight="15270" tabRatio="848" firstSheet="1" activeTab="1" xr2:uid="{00000000-000D-0000-FFFF-FFFF00000000}"/>
  </bookViews>
  <sheets>
    <sheet name="Table 1(I)" sheetId="24" r:id="rId1"/>
    <sheet name="Table 1 (II)" sheetId="25" r:id="rId2"/>
    <sheet name="Table 2" sheetId="4" r:id="rId3"/>
    <sheet name="Table 3" sheetId="5" r:id="rId4"/>
    <sheet name="Table 4" sheetId="26" r:id="rId5"/>
    <sheet name="Table 5" sheetId="27" r:id="rId6"/>
    <sheet name="Table 6" sheetId="22" r:id="rId7"/>
    <sheet name="Table 7" sheetId="23" r:id="rId8"/>
    <sheet name="Table 8" sheetId="18" r:id="rId9"/>
    <sheet name="Table 10" sheetId="1" r:id="rId10"/>
    <sheet name="Table 11" sheetId="21" r:id="rId11"/>
    <sheet name="Table 12 (I)" sheetId="2" r:id="rId12"/>
    <sheet name="Table 12 (II)" sheetId="3" r:id="rId13"/>
    <sheet name="Table 13 (I)" sheetId="6" r:id="rId14"/>
    <sheet name="Table 13 (II)" sheetId="7" r:id="rId15"/>
    <sheet name="Table 14 (I)" sheetId="8" r:id="rId16"/>
    <sheet name="Table 14 (II)" sheetId="9" r:id="rId17"/>
    <sheet name="Table 15 (I)" sheetId="10" r:id="rId18"/>
    <sheet name="Table 15(II)" sheetId="11" r:id="rId19"/>
    <sheet name="Table 16(I)" sheetId="12" r:id="rId20"/>
    <sheet name="Table 16(II)" sheetId="13" r:id="rId21"/>
    <sheet name="Table 17" sheetId="14" r:id="rId22"/>
    <sheet name="Table 18" sheetId="15" r:id="rId23"/>
    <sheet name="Table 19" sheetId="16" r:id="rId24"/>
    <sheet name="Table 20 Rural" sheetId="29" r:id="rId25"/>
    <sheet name="Table 20 URBAN" sheetId="17" r:id="rId26"/>
    <sheet name="Table 20 Combined" sheetId="30" r:id="rId27"/>
  </sheets>
  <definedNames>
    <definedName name="_xlnm.Print_Titles" localSheetId="2">'Table 2'!$3:$4</definedName>
    <definedName name="_xlnm.Print_Titles" localSheetId="8">'Table 8'!#REF!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5" l="1"/>
  <c r="N20" i="30"/>
  <c r="H7" i="24"/>
  <c r="J11" i="27"/>
  <c r="I11" i="27"/>
  <c r="H8" i="24"/>
  <c r="H9" i="24"/>
  <c r="H10" i="24"/>
  <c r="H11" i="24"/>
  <c r="H12" i="24"/>
  <c r="H13" i="24"/>
  <c r="H14" i="24"/>
  <c r="H15" i="24"/>
  <c r="H16" i="24"/>
  <c r="H17" i="24"/>
  <c r="E11" i="27"/>
  <c r="F11" i="27"/>
  <c r="G11" i="27"/>
  <c r="H11" i="27"/>
  <c r="D11" i="27"/>
  <c r="C11" i="27"/>
  <c r="C20" i="30" l="1"/>
  <c r="D16" i="18"/>
  <c r="J16" i="18" s="1"/>
  <c r="J8" i="18"/>
  <c r="J9" i="18"/>
  <c r="J10" i="18"/>
  <c r="J11" i="18"/>
  <c r="J12" i="18"/>
  <c r="J13" i="18"/>
  <c r="J15" i="18"/>
  <c r="J7" i="18"/>
  <c r="D20" i="29" l="1"/>
  <c r="E20" i="29"/>
  <c r="F20" i="29"/>
  <c r="G20" i="29"/>
  <c r="H20" i="29"/>
  <c r="I20" i="29"/>
  <c r="J20" i="29"/>
  <c r="K20" i="29"/>
  <c r="L20" i="29"/>
  <c r="M20" i="29"/>
  <c r="N20" i="29"/>
  <c r="C20" i="29"/>
  <c r="Q20" i="29"/>
  <c r="O20" i="29" l="1"/>
  <c r="R20" i="29"/>
  <c r="P20" i="29"/>
  <c r="H11" i="17"/>
  <c r="G11" i="17"/>
  <c r="D11" i="17"/>
  <c r="C11" i="17"/>
  <c r="H8" i="17"/>
  <c r="G8" i="17"/>
  <c r="F8" i="17"/>
  <c r="E8" i="17"/>
  <c r="E19" i="17" s="1"/>
  <c r="D8" i="17"/>
  <c r="C8" i="17"/>
  <c r="H15" i="17"/>
  <c r="G15" i="17"/>
  <c r="G19" i="17" s="1"/>
  <c r="F15" i="17"/>
  <c r="F19" i="17" s="1"/>
  <c r="E15" i="17"/>
  <c r="D15" i="17"/>
  <c r="C15" i="17"/>
  <c r="D19" i="17"/>
  <c r="I19" i="17"/>
  <c r="J19" i="17"/>
  <c r="K19" i="17"/>
  <c r="L19" i="17"/>
  <c r="M19" i="17"/>
  <c r="N19" i="17"/>
  <c r="O19" i="17"/>
  <c r="P19" i="17"/>
  <c r="Q19" i="17"/>
  <c r="R19" i="17"/>
  <c r="K13" i="1"/>
  <c r="K11" i="1"/>
  <c r="K15" i="5"/>
  <c r="K14" i="5"/>
  <c r="K13" i="5"/>
  <c r="K12" i="5"/>
  <c r="K11" i="5"/>
  <c r="K10" i="5"/>
  <c r="K9" i="5"/>
  <c r="K8" i="5"/>
  <c r="K7" i="5"/>
  <c r="K6" i="5"/>
  <c r="K5" i="5"/>
  <c r="H5" i="5"/>
  <c r="I8" i="4"/>
  <c r="I9" i="4"/>
  <c r="I11" i="4"/>
  <c r="I12" i="4"/>
  <c r="I14" i="4"/>
  <c r="I17" i="4"/>
  <c r="I18" i="4"/>
  <c r="I20" i="4"/>
  <c r="I21" i="4"/>
  <c r="I23" i="4"/>
  <c r="I24" i="4"/>
  <c r="I26" i="4"/>
  <c r="I29" i="4"/>
  <c r="I30" i="4"/>
  <c r="I32" i="4"/>
  <c r="I33" i="4"/>
  <c r="I35" i="4"/>
  <c r="I36" i="4"/>
  <c r="I5" i="4"/>
  <c r="L9" i="4"/>
  <c r="L8" i="4"/>
  <c r="I7" i="15"/>
  <c r="I8" i="15"/>
  <c r="I9" i="15"/>
  <c r="I10" i="15"/>
  <c r="H7" i="15"/>
  <c r="H8" i="15"/>
  <c r="H9" i="15"/>
  <c r="H10" i="15"/>
  <c r="J10" i="15" s="1"/>
  <c r="J7" i="15"/>
  <c r="I6" i="15"/>
  <c r="J9" i="15"/>
  <c r="J6" i="15"/>
  <c r="G10" i="15"/>
  <c r="G9" i="15"/>
  <c r="G8" i="15"/>
  <c r="G7" i="15"/>
  <c r="G6" i="15"/>
  <c r="D7" i="15"/>
  <c r="D8" i="15"/>
  <c r="D9" i="15"/>
  <c r="D10" i="15"/>
  <c r="D6" i="15"/>
  <c r="H6" i="15"/>
  <c r="L12" i="14"/>
  <c r="G12" i="14"/>
  <c r="I12" i="14"/>
  <c r="D13" i="14"/>
  <c r="K12" i="14"/>
  <c r="J12" i="14"/>
  <c r="H12" i="14"/>
  <c r="F12" i="14"/>
  <c r="D12" i="14"/>
  <c r="E9" i="14"/>
  <c r="F9" i="14"/>
  <c r="G9" i="14"/>
  <c r="H9" i="14"/>
  <c r="I9" i="14"/>
  <c r="J9" i="14"/>
  <c r="K9" i="14"/>
  <c r="L9" i="14"/>
  <c r="D9" i="14"/>
  <c r="B18" i="18"/>
  <c r="H16" i="18"/>
  <c r="H6" i="5"/>
  <c r="H7" i="5"/>
  <c r="H8" i="5"/>
  <c r="H9" i="5"/>
  <c r="H10" i="5"/>
  <c r="H11" i="5"/>
  <c r="H12" i="5"/>
  <c r="H13" i="5"/>
  <c r="H14" i="5"/>
  <c r="H15" i="5"/>
  <c r="H16" i="5"/>
  <c r="E7" i="9"/>
  <c r="C7" i="9"/>
  <c r="D7" i="9"/>
  <c r="E10" i="9"/>
  <c r="E11" i="9"/>
  <c r="D9" i="9"/>
  <c r="D8" i="9"/>
  <c r="C11" i="9"/>
  <c r="C10" i="9"/>
  <c r="C9" i="9"/>
  <c r="C8" i="9"/>
  <c r="B7" i="9"/>
  <c r="B11" i="9"/>
  <c r="B10" i="9"/>
  <c r="B9" i="9"/>
  <c r="B8" i="9"/>
  <c r="F8" i="8"/>
  <c r="F9" i="8"/>
  <c r="F10" i="8"/>
  <c r="F11" i="8"/>
  <c r="F12" i="8"/>
  <c r="F13" i="8"/>
  <c r="F14" i="8"/>
  <c r="F15" i="8"/>
  <c r="F16" i="8"/>
  <c r="F17" i="8"/>
  <c r="F18" i="8"/>
  <c r="C19" i="8"/>
  <c r="D19" i="8"/>
  <c r="E19" i="8"/>
  <c r="B19" i="8"/>
  <c r="F7" i="8"/>
  <c r="F19" i="7"/>
  <c r="K7" i="1"/>
  <c r="L7" i="1"/>
  <c r="K8" i="1"/>
  <c r="L8" i="1"/>
  <c r="K9" i="1"/>
  <c r="L9" i="1"/>
  <c r="K10" i="1"/>
  <c r="L10" i="1"/>
  <c r="L11" i="1"/>
  <c r="K12" i="1"/>
  <c r="L12" i="1"/>
  <c r="L13" i="1"/>
  <c r="K14" i="1"/>
  <c r="L14" i="1"/>
  <c r="K15" i="1"/>
  <c r="L15" i="1"/>
  <c r="K16" i="1"/>
  <c r="L16" i="1"/>
  <c r="L6" i="1"/>
  <c r="K6" i="1"/>
  <c r="E6" i="3"/>
  <c r="D6" i="3"/>
  <c r="C6" i="3"/>
  <c r="G17" i="3"/>
  <c r="F17" i="3"/>
  <c r="G13" i="3"/>
  <c r="E17" i="3"/>
  <c r="F6" i="3"/>
  <c r="D7" i="3"/>
  <c r="E7" i="3"/>
  <c r="F7" i="3"/>
  <c r="D8" i="3"/>
  <c r="E8" i="3"/>
  <c r="F8" i="3"/>
  <c r="G8" i="3"/>
  <c r="H8" i="3"/>
  <c r="E12" i="3"/>
  <c r="F12" i="3"/>
  <c r="E9" i="3"/>
  <c r="F9" i="3"/>
  <c r="G9" i="3"/>
  <c r="H9" i="3"/>
  <c r="E10" i="3"/>
  <c r="F10" i="3"/>
  <c r="G10" i="3"/>
  <c r="E11" i="3"/>
  <c r="H12" i="3"/>
  <c r="G12" i="3"/>
  <c r="H11" i="3"/>
  <c r="G11" i="3"/>
  <c r="F11" i="3"/>
  <c r="I10" i="3"/>
  <c r="H10" i="3"/>
  <c r="D10" i="3"/>
  <c r="D9" i="3"/>
  <c r="I7" i="3"/>
  <c r="H7" i="3"/>
  <c r="G7" i="3"/>
  <c r="C7" i="3"/>
  <c r="J6" i="3"/>
  <c r="I6" i="3"/>
  <c r="H6" i="3"/>
  <c r="G6" i="3"/>
  <c r="J15" i="21"/>
  <c r="J12" i="21"/>
  <c r="J9" i="21"/>
  <c r="G27" i="4"/>
  <c r="H27" i="4"/>
  <c r="I20" i="21"/>
  <c r="J19" i="21"/>
  <c r="J18" i="21"/>
  <c r="J17" i="21"/>
  <c r="J16" i="21"/>
  <c r="J13" i="21"/>
  <c r="J11" i="21"/>
  <c r="J1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I27" i="4" l="1"/>
  <c r="H19" i="17"/>
  <c r="C19" i="17"/>
  <c r="F20" i="30"/>
  <c r="I20" i="30"/>
  <c r="J20" i="30"/>
  <c r="M20" i="30"/>
  <c r="I38" i="4"/>
  <c r="K20" i="30"/>
  <c r="P20" i="30"/>
  <c r="R20" i="30"/>
  <c r="Q20" i="30"/>
  <c r="H20" i="30"/>
  <c r="E20" i="30"/>
  <c r="D20" i="30"/>
  <c r="L20" i="30"/>
  <c r="J8" i="15"/>
  <c r="M9" i="14"/>
  <c r="E12" i="14"/>
  <c r="F7" i="9"/>
  <c r="E19" i="9"/>
  <c r="F19" i="8"/>
  <c r="F9" i="7"/>
  <c r="E19" i="21"/>
  <c r="C19" i="21"/>
  <c r="E18" i="21"/>
  <c r="C18" i="21"/>
  <c r="E17" i="21"/>
  <c r="C17" i="21"/>
  <c r="E11" i="21"/>
  <c r="D11" i="21"/>
  <c r="E12" i="21"/>
  <c r="D12" i="21"/>
  <c r="E13" i="21"/>
  <c r="D13" i="21"/>
  <c r="E14" i="21"/>
  <c r="D14" i="21"/>
  <c r="E15" i="21"/>
  <c r="D15" i="21"/>
  <c r="E16" i="21"/>
  <c r="C16" i="21"/>
  <c r="C15" i="21"/>
  <c r="C14" i="21"/>
  <c r="C13" i="21"/>
  <c r="C12" i="21"/>
  <c r="C11" i="21"/>
  <c r="E10" i="21"/>
  <c r="C10" i="21"/>
  <c r="E9" i="21"/>
  <c r="C9" i="21"/>
  <c r="E8" i="21"/>
  <c r="D8" i="21"/>
  <c r="C8" i="21"/>
  <c r="G20" i="30" l="1"/>
  <c r="O20" i="30"/>
  <c r="H15" i="18" l="1"/>
  <c r="H13" i="18"/>
  <c r="H8" i="18"/>
  <c r="I8" i="18"/>
  <c r="H9" i="18"/>
  <c r="I9" i="18"/>
  <c r="H10" i="18"/>
  <c r="I10" i="18"/>
  <c r="H11" i="18"/>
  <c r="I11" i="18"/>
  <c r="H12" i="18"/>
  <c r="I12" i="18"/>
  <c r="I13" i="18"/>
  <c r="H14" i="18"/>
  <c r="I14" i="18"/>
  <c r="I15" i="18"/>
  <c r="I16" i="18"/>
  <c r="H17" i="18"/>
  <c r="I17" i="18"/>
  <c r="I7" i="18"/>
  <c r="H7" i="18"/>
  <c r="D7" i="18"/>
  <c r="G6" i="23"/>
  <c r="G7" i="23"/>
  <c r="D9" i="22"/>
  <c r="E9" i="22"/>
  <c r="F9" i="22"/>
  <c r="G7" i="22"/>
  <c r="G8" i="22"/>
  <c r="G6" i="22"/>
  <c r="C9" i="22"/>
  <c r="C16" i="5"/>
  <c r="D38" i="4"/>
  <c r="E27" i="4"/>
  <c r="D27" i="4"/>
  <c r="H15" i="4"/>
  <c r="G15" i="4"/>
  <c r="E15" i="4"/>
  <c r="D15" i="4"/>
  <c r="F5" i="4"/>
  <c r="H6" i="4"/>
  <c r="G6" i="4"/>
  <c r="E6" i="4"/>
  <c r="D6" i="4"/>
  <c r="E8" i="24"/>
  <c r="E8" i="25"/>
  <c r="E9" i="25"/>
  <c r="E10" i="25"/>
  <c r="E11" i="25"/>
  <c r="E12" i="25"/>
  <c r="E13" i="25"/>
  <c r="E14" i="25"/>
  <c r="E15" i="25"/>
  <c r="E16" i="25"/>
  <c r="E17" i="25"/>
  <c r="E7" i="25"/>
  <c r="E9" i="24"/>
  <c r="E10" i="24"/>
  <c r="E11" i="24"/>
  <c r="E12" i="24"/>
  <c r="E13" i="24"/>
  <c r="E14" i="24"/>
  <c r="E15" i="24"/>
  <c r="E16" i="24"/>
  <c r="E17" i="24"/>
  <c r="E7" i="24"/>
  <c r="D18" i="25"/>
  <c r="G18" i="25"/>
  <c r="C18" i="25"/>
  <c r="D18" i="24"/>
  <c r="G18" i="24"/>
  <c r="C18" i="24"/>
  <c r="F6" i="4" l="1"/>
  <c r="H10" i="25"/>
  <c r="H9" i="25"/>
  <c r="H11" i="25"/>
  <c r="H14" i="25"/>
  <c r="H8" i="25"/>
  <c r="I6" i="4"/>
  <c r="G39" i="4"/>
  <c r="H39" i="4"/>
  <c r="I15" i="4"/>
  <c r="G9" i="22"/>
  <c r="F18" i="24"/>
  <c r="E18" i="25"/>
  <c r="E18" i="24"/>
  <c r="H12" i="25" l="1"/>
  <c r="H13" i="25"/>
  <c r="H16" i="25"/>
  <c r="H17" i="25"/>
  <c r="H15" i="25"/>
  <c r="F18" i="25"/>
  <c r="I39" i="4"/>
  <c r="I40" i="4" s="1"/>
  <c r="H18" i="24"/>
  <c r="D39" i="4"/>
  <c r="D40" i="4" s="1"/>
  <c r="E38" i="4"/>
  <c r="H18" i="25" l="1"/>
  <c r="M8" i="14"/>
  <c r="G8" i="18"/>
  <c r="G9" i="18"/>
  <c r="G10" i="18"/>
  <c r="G11" i="18"/>
  <c r="G12" i="18"/>
  <c r="G13" i="18"/>
  <c r="G14" i="18"/>
  <c r="G15" i="18"/>
  <c r="G16" i="18"/>
  <c r="G17" i="18"/>
  <c r="J17" i="18" s="1"/>
  <c r="D8" i="18"/>
  <c r="D12" i="18"/>
  <c r="D17" i="18"/>
  <c r="D9" i="18"/>
  <c r="D11" i="18"/>
  <c r="D13" i="18"/>
  <c r="D15" i="18"/>
  <c r="C18" i="18"/>
  <c r="E18" i="18"/>
  <c r="F18" i="18"/>
  <c r="G8" i="23"/>
  <c r="F36" i="4"/>
  <c r="F29" i="4"/>
  <c r="F30" i="4"/>
  <c r="F32" i="4"/>
  <c r="F33" i="4"/>
  <c r="F35" i="4"/>
  <c r="F14" i="4"/>
  <c r="F15" i="4"/>
  <c r="F17" i="4"/>
  <c r="F18" i="4"/>
  <c r="F20" i="4"/>
  <c r="F21" i="4"/>
  <c r="F23" i="4"/>
  <c r="F24" i="4"/>
  <c r="F26" i="4"/>
  <c r="F27" i="4"/>
  <c r="F8" i="4"/>
  <c r="F9" i="4"/>
  <c r="F11" i="4"/>
  <c r="F38" i="4" s="1"/>
  <c r="F12" i="4"/>
  <c r="G18" i="18" l="1"/>
  <c r="I18" i="18"/>
  <c r="G7" i="18"/>
  <c r="D14" i="18"/>
  <c r="J14" i="18" s="1"/>
  <c r="D10" i="18"/>
  <c r="D16" i="5"/>
  <c r="F16" i="5"/>
  <c r="G16" i="5"/>
  <c r="I16" i="5"/>
  <c r="J16" i="5"/>
  <c r="L16" i="5"/>
  <c r="M16" i="5"/>
  <c r="N16" i="5"/>
  <c r="H18" i="18" l="1"/>
  <c r="J18" i="18" s="1"/>
  <c r="D18" i="18"/>
  <c r="E16" i="5"/>
  <c r="E39" i="4"/>
  <c r="E40" i="4" s="1"/>
  <c r="F39" i="4"/>
  <c r="F40" i="4" s="1"/>
  <c r="J39" i="4"/>
  <c r="K39" i="4"/>
  <c r="M39" i="4"/>
  <c r="N39" i="4"/>
  <c r="O39" i="4"/>
  <c r="G38" i="4"/>
  <c r="H38" i="4"/>
  <c r="J38" i="4"/>
  <c r="K38" i="4"/>
  <c r="M38" i="4"/>
  <c r="N38" i="4"/>
  <c r="O38" i="4"/>
  <c r="E37" i="4"/>
  <c r="G37" i="4"/>
  <c r="H37" i="4"/>
  <c r="J37" i="4"/>
  <c r="K37" i="4"/>
  <c r="M37" i="4"/>
  <c r="N37" i="4"/>
  <c r="O37" i="4"/>
  <c r="E34" i="4"/>
  <c r="G34" i="4"/>
  <c r="H34" i="4"/>
  <c r="J34" i="4"/>
  <c r="K34" i="4"/>
  <c r="M34" i="4"/>
  <c r="N34" i="4"/>
  <c r="O34" i="4"/>
  <c r="E31" i="4"/>
  <c r="G31" i="4"/>
  <c r="H31" i="4"/>
  <c r="J31" i="4"/>
  <c r="K31" i="4"/>
  <c r="L31" i="4"/>
  <c r="M31" i="4"/>
  <c r="N31" i="4"/>
  <c r="O31" i="4"/>
  <c r="P31" i="4"/>
  <c r="E28" i="4"/>
  <c r="G28" i="4"/>
  <c r="H28" i="4"/>
  <c r="J28" i="4"/>
  <c r="K28" i="4"/>
  <c r="M28" i="4"/>
  <c r="N28" i="4"/>
  <c r="O28" i="4"/>
  <c r="E25" i="4"/>
  <c r="G25" i="4"/>
  <c r="H25" i="4"/>
  <c r="J25" i="4"/>
  <c r="K25" i="4"/>
  <c r="L25" i="4"/>
  <c r="M25" i="4"/>
  <c r="N25" i="4"/>
  <c r="O25" i="4"/>
  <c r="E22" i="4"/>
  <c r="G22" i="4"/>
  <c r="H22" i="4"/>
  <c r="J22" i="4"/>
  <c r="K22" i="4"/>
  <c r="L22" i="4"/>
  <c r="M22" i="4"/>
  <c r="N22" i="4"/>
  <c r="O22" i="4"/>
  <c r="E19" i="4"/>
  <c r="G19" i="4"/>
  <c r="H19" i="4"/>
  <c r="J19" i="4"/>
  <c r="K19" i="4"/>
  <c r="L19" i="4"/>
  <c r="M19" i="4"/>
  <c r="N19" i="4"/>
  <c r="O19" i="4"/>
  <c r="D37" i="4"/>
  <c r="D34" i="4"/>
  <c r="D31" i="4"/>
  <c r="D28" i="4"/>
  <c r="D25" i="4"/>
  <c r="D22" i="4"/>
  <c r="D19" i="4"/>
  <c r="E16" i="4"/>
  <c r="G16" i="4"/>
  <c r="H16" i="4"/>
  <c r="J16" i="4"/>
  <c r="K16" i="4"/>
  <c r="L16" i="4"/>
  <c r="M16" i="4"/>
  <c r="N16" i="4"/>
  <c r="O16" i="4"/>
  <c r="P16" i="4"/>
  <c r="D16" i="4"/>
  <c r="E13" i="4"/>
  <c r="G13" i="4"/>
  <c r="H13" i="4"/>
  <c r="J13" i="4"/>
  <c r="K13" i="4"/>
  <c r="L13" i="4"/>
  <c r="M13" i="4"/>
  <c r="N13" i="4"/>
  <c r="O13" i="4"/>
  <c r="D13" i="4"/>
  <c r="E10" i="4"/>
  <c r="G10" i="4"/>
  <c r="H10" i="4"/>
  <c r="J10" i="4"/>
  <c r="K10" i="4"/>
  <c r="L10" i="4"/>
  <c r="M10" i="4"/>
  <c r="N10" i="4"/>
  <c r="O10" i="4"/>
  <c r="D10" i="4"/>
  <c r="E7" i="4"/>
  <c r="G7" i="4"/>
  <c r="H7" i="4"/>
  <c r="J7" i="4"/>
  <c r="K7" i="4"/>
  <c r="L7" i="4"/>
  <c r="M7" i="4"/>
  <c r="N7" i="4"/>
  <c r="O7" i="4"/>
  <c r="D7" i="4"/>
  <c r="I13" i="4" l="1"/>
  <c r="F28" i="4"/>
  <c r="I22" i="4"/>
  <c r="I7" i="4"/>
  <c r="F19" i="4"/>
  <c r="F31" i="4"/>
  <c r="I25" i="4"/>
  <c r="I28" i="4"/>
  <c r="O40" i="4"/>
  <c r="I10" i="4"/>
  <c r="I16" i="4"/>
  <c r="F37" i="4"/>
  <c r="I19" i="4"/>
  <c r="I31" i="4"/>
  <c r="I34" i="4"/>
  <c r="I37" i="4"/>
  <c r="K40" i="4"/>
  <c r="F25" i="4"/>
  <c r="H40" i="4"/>
  <c r="G40" i="4"/>
  <c r="F7" i="4"/>
  <c r="F10" i="4"/>
  <c r="F13" i="4"/>
  <c r="F16" i="4"/>
  <c r="F22" i="4"/>
  <c r="F34" i="4"/>
  <c r="N40" i="4"/>
  <c r="J40" i="4"/>
  <c r="M40" i="4"/>
  <c r="L26" i="4" l="1"/>
  <c r="L27" i="4"/>
  <c r="L35" i="4"/>
  <c r="L36" i="4"/>
  <c r="L37" i="4" l="1"/>
  <c r="L28" i="4"/>
  <c r="L33" i="4" l="1"/>
  <c r="L39" i="4" s="1"/>
  <c r="L32" i="4"/>
  <c r="O19" i="21" l="1"/>
  <c r="O17" i="21"/>
  <c r="O16" i="21"/>
  <c r="O14" i="21"/>
  <c r="O13" i="21"/>
  <c r="O11" i="21"/>
  <c r="O8" i="21"/>
  <c r="L34" i="4"/>
  <c r="L38" i="4"/>
  <c r="L40" i="4" s="1"/>
  <c r="O16" i="5"/>
  <c r="O18" i="21"/>
  <c r="O15" i="21"/>
  <c r="O12" i="21"/>
  <c r="O10" i="21"/>
  <c r="O9" i="21"/>
  <c r="K16" i="5"/>
  <c r="P19" i="21"/>
  <c r="P18" i="21"/>
  <c r="P17" i="21"/>
  <c r="P16" i="21"/>
  <c r="P15" i="21"/>
  <c r="P14" i="21"/>
  <c r="P13" i="21"/>
  <c r="P12" i="21"/>
  <c r="P11" i="21"/>
  <c r="P10" i="21"/>
  <c r="P9" i="21"/>
  <c r="P8" i="21"/>
  <c r="H20" i="21" l="1"/>
  <c r="L14" i="14"/>
  <c r="K14" i="14"/>
  <c r="J14" i="14"/>
  <c r="I14" i="14"/>
  <c r="H14" i="14"/>
  <c r="G14" i="14"/>
  <c r="F14" i="14"/>
  <c r="E14" i="14"/>
  <c r="M7" i="14" l="1"/>
  <c r="E13" i="14"/>
  <c r="E15" i="14" s="1"/>
  <c r="G13" i="14"/>
  <c r="G15" i="14" s="1"/>
  <c r="I13" i="14"/>
  <c r="I15" i="14" s="1"/>
  <c r="K13" i="14"/>
  <c r="K15" i="14" s="1"/>
  <c r="M11" i="14"/>
  <c r="D14" i="14"/>
  <c r="M14" i="14" s="1"/>
  <c r="M10" i="14"/>
  <c r="F13" i="14"/>
  <c r="F15" i="14" s="1"/>
  <c r="H13" i="14"/>
  <c r="H15" i="14" s="1"/>
  <c r="J13" i="14"/>
  <c r="J15" i="14" s="1"/>
  <c r="L13" i="14"/>
  <c r="L15" i="14" s="1"/>
  <c r="M12" i="14" l="1"/>
  <c r="M13" i="14"/>
  <c r="D15" i="14"/>
  <c r="M15" i="14" s="1"/>
  <c r="F11" i="15"/>
  <c r="E18" i="13" l="1"/>
  <c r="C18" i="13"/>
  <c r="F16" i="13"/>
  <c r="F14" i="13"/>
  <c r="F12" i="13"/>
  <c r="F10" i="13"/>
  <c r="F8" i="13"/>
  <c r="E11" i="15"/>
  <c r="F15" i="13"/>
  <c r="B18" i="13"/>
  <c r="D18" i="13"/>
  <c r="F17" i="13"/>
  <c r="F13" i="13"/>
  <c r="F9" i="13"/>
  <c r="F11" i="13"/>
  <c r="F7" i="13"/>
  <c r="F6" i="13"/>
  <c r="K16" i="10"/>
  <c r="D19" i="10"/>
  <c r="K14" i="10" l="1"/>
  <c r="E18" i="11"/>
  <c r="K18" i="10"/>
  <c r="K7" i="10"/>
  <c r="I19" i="10"/>
  <c r="C18" i="11"/>
  <c r="K16" i="11"/>
  <c r="B19" i="9"/>
  <c r="F17" i="9"/>
  <c r="F15" i="9"/>
  <c r="F13" i="9"/>
  <c r="F11" i="9"/>
  <c r="F9" i="9"/>
  <c r="J18" i="11"/>
  <c r="K14" i="11"/>
  <c r="K12" i="11"/>
  <c r="K10" i="11"/>
  <c r="I18" i="11"/>
  <c r="G18" i="11"/>
  <c r="K8" i="11"/>
  <c r="K12" i="10"/>
  <c r="K10" i="10"/>
  <c r="J19" i="10"/>
  <c r="H19" i="10"/>
  <c r="F19" i="10"/>
  <c r="K8" i="10"/>
  <c r="C19" i="9"/>
  <c r="F17" i="12"/>
  <c r="B18" i="12"/>
  <c r="F15" i="12"/>
  <c r="F13" i="12"/>
  <c r="F11" i="12"/>
  <c r="F9" i="12"/>
  <c r="F7" i="12"/>
  <c r="D18" i="12"/>
  <c r="F18" i="13"/>
  <c r="E18" i="12"/>
  <c r="C18" i="12"/>
  <c r="F16" i="12"/>
  <c r="F12" i="12"/>
  <c r="F8" i="12"/>
  <c r="F14" i="12"/>
  <c r="F10" i="12"/>
  <c r="H18" i="11"/>
  <c r="F18" i="11"/>
  <c r="D18" i="11"/>
  <c r="K17" i="11"/>
  <c r="K15" i="11"/>
  <c r="K13" i="11"/>
  <c r="K11" i="11"/>
  <c r="K9" i="11"/>
  <c r="K7" i="11"/>
  <c r="K6" i="11"/>
  <c r="G19" i="10"/>
  <c r="E19" i="10"/>
  <c r="C19" i="10"/>
  <c r="K17" i="10"/>
  <c r="K15" i="10"/>
  <c r="K13" i="10"/>
  <c r="K11" i="10"/>
  <c r="K9" i="10"/>
  <c r="F18" i="9"/>
  <c r="F16" i="9"/>
  <c r="F14" i="9"/>
  <c r="F12" i="9"/>
  <c r="F10" i="9"/>
  <c r="F8" i="9"/>
  <c r="D19" i="9"/>
  <c r="F6" i="12"/>
  <c r="B19" i="10"/>
  <c r="B18" i="11"/>
  <c r="E14" i="16"/>
  <c r="D14" i="16"/>
  <c r="C14" i="16"/>
  <c r="B14" i="16"/>
  <c r="K18" i="11" l="1"/>
  <c r="F19" i="9"/>
  <c r="F18" i="12"/>
  <c r="K19" i="10"/>
  <c r="F11" i="7" l="1"/>
  <c r="F12" i="7"/>
  <c r="F15" i="7"/>
  <c r="F18" i="7"/>
  <c r="F10" i="7"/>
  <c r="F13" i="7"/>
  <c r="F14" i="7"/>
  <c r="F17" i="7"/>
  <c r="K13" i="2"/>
  <c r="K12" i="2"/>
  <c r="K15" i="2"/>
  <c r="K8" i="2"/>
  <c r="K9" i="2"/>
  <c r="K16" i="2"/>
  <c r="K17" i="2"/>
  <c r="L20" i="21"/>
  <c r="C20" i="21"/>
  <c r="D20" i="21"/>
  <c r="E20" i="21"/>
  <c r="F20" i="21"/>
  <c r="G20" i="21"/>
  <c r="J20" i="21"/>
  <c r="K20" i="21"/>
  <c r="M20" i="21"/>
  <c r="N20" i="21"/>
  <c r="J17" i="1"/>
  <c r="I17" i="1"/>
  <c r="H17" i="1"/>
  <c r="G17" i="1"/>
  <c r="F17" i="1"/>
  <c r="E17" i="1"/>
  <c r="D17" i="1"/>
  <c r="C17" i="1"/>
  <c r="L17" i="1"/>
  <c r="K17" i="1"/>
  <c r="F9" i="23"/>
  <c r="P36" i="4"/>
  <c r="P35" i="4"/>
  <c r="P33" i="4"/>
  <c r="P32" i="4"/>
  <c r="P27" i="4"/>
  <c r="P26" i="4"/>
  <c r="P24" i="4"/>
  <c r="P23" i="4"/>
  <c r="P21" i="4"/>
  <c r="P20" i="4"/>
  <c r="P19" i="4"/>
  <c r="P18" i="4"/>
  <c r="P17" i="4"/>
  <c r="P12" i="4"/>
  <c r="P11" i="4"/>
  <c r="P9" i="4"/>
  <c r="P8" i="4"/>
  <c r="P6" i="4"/>
  <c r="P5" i="4"/>
  <c r="P10" i="4" l="1"/>
  <c r="P25" i="4"/>
  <c r="P34" i="4"/>
  <c r="K10" i="2"/>
  <c r="P7" i="4"/>
  <c r="P38" i="4"/>
  <c r="P13" i="4"/>
  <c r="K14" i="2"/>
  <c r="P39" i="4"/>
  <c r="P22" i="4"/>
  <c r="P28" i="4"/>
  <c r="P37" i="4"/>
  <c r="F10" i="6"/>
  <c r="E19" i="6"/>
  <c r="F18" i="6"/>
  <c r="F16" i="6"/>
  <c r="F14" i="6"/>
  <c r="F12" i="6"/>
  <c r="F15" i="6"/>
  <c r="B18" i="2"/>
  <c r="K7" i="2"/>
  <c r="C18" i="2"/>
  <c r="K6" i="2"/>
  <c r="D18" i="3"/>
  <c r="C21" i="7"/>
  <c r="F20" i="7"/>
  <c r="F16" i="7"/>
  <c r="D21" i="7"/>
  <c r="B21" i="7"/>
  <c r="F11" i="6"/>
  <c r="F9" i="6"/>
  <c r="F17" i="6"/>
  <c r="F13" i="6"/>
  <c r="F8" i="6"/>
  <c r="C19" i="6"/>
  <c r="B19" i="6"/>
  <c r="K13" i="3"/>
  <c r="K17" i="3"/>
  <c r="K9" i="3"/>
  <c r="K8" i="3"/>
  <c r="J18" i="3"/>
  <c r="K16" i="3"/>
  <c r="K12" i="3"/>
  <c r="C18" i="3"/>
  <c r="K15" i="3"/>
  <c r="K11" i="3"/>
  <c r="I18" i="3"/>
  <c r="G18" i="3"/>
  <c r="F18" i="3"/>
  <c r="E18" i="3"/>
  <c r="K14" i="3"/>
  <c r="K10" i="3"/>
  <c r="K6" i="3"/>
  <c r="B18" i="3"/>
  <c r="I18" i="2"/>
  <c r="E18" i="2"/>
  <c r="H18" i="2"/>
  <c r="F18" i="2"/>
  <c r="J18" i="2"/>
  <c r="K11" i="2"/>
  <c r="G18" i="2"/>
  <c r="D18" i="2"/>
  <c r="D9" i="23"/>
  <c r="E9" i="23"/>
  <c r="C9" i="23"/>
  <c r="O20" i="21"/>
  <c r="P20" i="21"/>
  <c r="K7" i="3"/>
  <c r="H18" i="3"/>
  <c r="E21" i="7"/>
  <c r="B11" i="15"/>
  <c r="D19" i="6"/>
  <c r="I11" i="15"/>
  <c r="C11" i="15"/>
  <c r="F7" i="6"/>
  <c r="P40" i="4" l="1"/>
  <c r="G11" i="15"/>
  <c r="F21" i="7"/>
  <c r="F19" i="6"/>
  <c r="K18" i="3"/>
  <c r="K18" i="2"/>
  <c r="G9" i="23"/>
  <c r="H11" i="15"/>
  <c r="J11" i="15" s="1"/>
  <c r="D11" i="15"/>
</calcChain>
</file>

<file path=xl/sharedStrings.xml><?xml version="1.0" encoding="utf-8"?>
<sst xmlns="http://schemas.openxmlformats.org/spreadsheetml/2006/main" count="721" uniqueCount="270">
  <si>
    <t>Total</t>
  </si>
  <si>
    <t>Urban</t>
  </si>
  <si>
    <t xml:space="preserve">Rural </t>
  </si>
  <si>
    <t xml:space="preserve">Nagaland(Total) </t>
  </si>
  <si>
    <t>Kiphire</t>
  </si>
  <si>
    <t>Longleng</t>
  </si>
  <si>
    <t>Peren</t>
  </si>
  <si>
    <t>Dimapur</t>
  </si>
  <si>
    <t>Mon</t>
  </si>
  <si>
    <t>Tuensang</t>
  </si>
  <si>
    <t>Zunheboto</t>
  </si>
  <si>
    <t>Wokha</t>
  </si>
  <si>
    <t>Mokokchung</t>
  </si>
  <si>
    <t>Phek</t>
  </si>
  <si>
    <t>Kohima</t>
  </si>
  <si>
    <t>T</t>
  </si>
  <si>
    <t>F</t>
  </si>
  <si>
    <t>M</t>
  </si>
  <si>
    <t>Still Births</t>
  </si>
  <si>
    <t>Maternal Deaths</t>
  </si>
  <si>
    <t>Infant Deaths</t>
  </si>
  <si>
    <t>Deaths</t>
  </si>
  <si>
    <t xml:space="preserve"> Births</t>
  </si>
  <si>
    <t>Rural             Urban</t>
  </si>
  <si>
    <t>District</t>
  </si>
  <si>
    <t>Sl. No.</t>
  </si>
  <si>
    <t>TABLE- 2</t>
  </si>
  <si>
    <t>Female</t>
  </si>
  <si>
    <t>Male</t>
  </si>
  <si>
    <t>Maternal deaths</t>
  </si>
  <si>
    <t>DISTRICT</t>
  </si>
  <si>
    <t>SL NO.</t>
  </si>
  <si>
    <t>TABLE-3</t>
  </si>
  <si>
    <t>TABLE- 10</t>
  </si>
  <si>
    <t>Christians</t>
  </si>
  <si>
    <t>Hindus</t>
  </si>
  <si>
    <t>Muslims</t>
  </si>
  <si>
    <t>Others</t>
  </si>
  <si>
    <t>All Religions</t>
  </si>
  <si>
    <t>Live Births</t>
  </si>
  <si>
    <t>Nagaland(Total)</t>
  </si>
  <si>
    <t>TABLE - 12(I)</t>
  </si>
  <si>
    <t>Birth Order</t>
  </si>
  <si>
    <t>Age of Mother</t>
  </si>
  <si>
    <t>Below 15 Years</t>
  </si>
  <si>
    <t>15-19</t>
  </si>
  <si>
    <t>20-24</t>
  </si>
  <si>
    <t>25-29</t>
  </si>
  <si>
    <t>30-34</t>
  </si>
  <si>
    <t>35-39</t>
  </si>
  <si>
    <t>40-44</t>
  </si>
  <si>
    <t>45 and Above</t>
  </si>
  <si>
    <t>Age Not Stated</t>
  </si>
  <si>
    <t>All Ages</t>
  </si>
  <si>
    <t>Above 10</t>
  </si>
  <si>
    <t>Not Stated</t>
  </si>
  <si>
    <t>TABLE - 12(II)</t>
  </si>
  <si>
    <t>Literacy of Mother</t>
  </si>
  <si>
    <t>Literate</t>
  </si>
  <si>
    <t>Illiterate</t>
  </si>
  <si>
    <t>Below Matriculate</t>
  </si>
  <si>
    <t>Matriculate/Higher Secondary/Equivalent</t>
  </si>
  <si>
    <t>Graduate and Above</t>
  </si>
  <si>
    <t>TABLE - 13(I)</t>
  </si>
  <si>
    <t>TABLE - 13(II)</t>
  </si>
  <si>
    <t>TABLE - 14(I)</t>
  </si>
  <si>
    <t>TABLE - 14(II)</t>
  </si>
  <si>
    <t>Literacy of Father</t>
  </si>
  <si>
    <t>Professional Technical &amp; Related Workers</t>
  </si>
  <si>
    <t>Administrative Executive &amp; Managerial Workers</t>
  </si>
  <si>
    <t>Clerical Workers</t>
  </si>
  <si>
    <t>Sales Workers</t>
  </si>
  <si>
    <t>Farmers ,Fishermen, Hunters ,Loggers etc and Related Workers</t>
  </si>
  <si>
    <t>Production &amp; Other Related workers Transport Equipment Operators &amp; Labourers</t>
  </si>
  <si>
    <t>Others whose Occupation is Not Else Where Classified</t>
  </si>
  <si>
    <t>Non-Workers</t>
  </si>
  <si>
    <t>Service Workers</t>
  </si>
  <si>
    <t>Production &amp; Other Related Workers Transport Equipment Operators &amp; Labourers</t>
  </si>
  <si>
    <t>FATHER'S RELIGION</t>
  </si>
  <si>
    <t xml:space="preserve">Total </t>
  </si>
  <si>
    <t>Rural/ Urban</t>
  </si>
  <si>
    <t>Sex</t>
  </si>
  <si>
    <t>Farmers, Fishermen, Hunters, Loggers etc. and Related Workers</t>
  </si>
  <si>
    <t>Other Whose Occupation is Not Else Where Classified</t>
  </si>
  <si>
    <t>Rural</t>
  </si>
  <si>
    <t>TABLE - 17</t>
  </si>
  <si>
    <t>Sl.no</t>
  </si>
  <si>
    <t>NUMBER OF EVENTS REGISTERED</t>
  </si>
  <si>
    <t>Number of Events Registered for Previous Calender Year</t>
  </si>
  <si>
    <t xml:space="preserve">Delayed Registration </t>
  </si>
  <si>
    <t>Within Time Limit</t>
  </si>
  <si>
    <t>Within 30 Days</t>
  </si>
  <si>
    <t>After 30 days but Within 1 Year</t>
  </si>
  <si>
    <t>After 30 Days but Within 1 Year</t>
  </si>
  <si>
    <t xml:space="preserve"> Phek</t>
  </si>
  <si>
    <t>Total Nagaland</t>
  </si>
  <si>
    <t>TABLE - 8</t>
  </si>
  <si>
    <t>Age</t>
  </si>
  <si>
    <t>Below 1 Year</t>
  </si>
  <si>
    <t>1-4 Yrs.</t>
  </si>
  <si>
    <t>5-14</t>
  </si>
  <si>
    <t>15-24</t>
  </si>
  <si>
    <t>25-34</t>
  </si>
  <si>
    <t>35-44</t>
  </si>
  <si>
    <t>45-54</t>
  </si>
  <si>
    <t>55-64</t>
  </si>
  <si>
    <t>65-69</t>
  </si>
  <si>
    <t>70 and above</t>
  </si>
  <si>
    <t>Age not stated</t>
  </si>
  <si>
    <t>Total of all Ages</t>
  </si>
  <si>
    <t xml:space="preserve"> </t>
  </si>
  <si>
    <t>Sl. No</t>
  </si>
  <si>
    <t>Months</t>
  </si>
  <si>
    <t>Births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</si>
  <si>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</si>
  <si>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</si>
  <si>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</si>
  <si>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</si>
  <si>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</si>
  <si>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</si>
  <si>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</si>
  <si>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</si>
  <si>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</si>
  <si>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</si>
  <si>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</si>
  <si>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</si>
  <si>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All other Urban areas</t>
  </si>
  <si>
    <t>Urban Town with population 30,000 above</t>
  </si>
  <si>
    <t>Untrained Mid-wife</t>
  </si>
  <si>
    <t>Physician/Nurse and Trained Mid-wife</t>
  </si>
  <si>
    <t>Institutional</t>
  </si>
  <si>
    <t>All other Urban Areas</t>
  </si>
  <si>
    <t>Urban Town with Population 30,000 above</t>
  </si>
  <si>
    <t>Others Specify</t>
  </si>
  <si>
    <t>Qualified Medical Practitioner               (Other system)</t>
  </si>
  <si>
    <t>Qualified Medical Practitioner (Allopathic)</t>
  </si>
  <si>
    <t>DOMICILIARY</t>
  </si>
  <si>
    <t>TABLE - 6</t>
  </si>
  <si>
    <t>TABLE - 7</t>
  </si>
  <si>
    <t>Rural /                               Urban/                          Total</t>
  </si>
  <si>
    <t>Rural \ Urban\Total</t>
  </si>
  <si>
    <t>TABLE-1(I)</t>
  </si>
  <si>
    <t>Population Census 2011(A)</t>
  </si>
  <si>
    <t>Number of Registration Units</t>
  </si>
  <si>
    <t>Number of Monthly Returns Due</t>
  </si>
  <si>
    <t>Number of Monthly Returns Received</t>
  </si>
  <si>
    <t>Estimated midyear population</t>
  </si>
  <si>
    <t>Adjusted for Incomplete Receipt of Returns</t>
  </si>
  <si>
    <t>(TOTAL</t>
  </si>
  <si>
    <t>TABLE-1(II)</t>
  </si>
  <si>
    <t>TOTAL URBAN</t>
  </si>
  <si>
    <t>TABLE- 4</t>
  </si>
  <si>
    <t>( PER THOUSAND POPULATION )</t>
  </si>
  <si>
    <t>COMBINED</t>
  </si>
  <si>
    <t>Birth Rate</t>
  </si>
  <si>
    <t>Death Rate</t>
  </si>
  <si>
    <t>Infant Death Rate</t>
  </si>
  <si>
    <t xml:space="preserve">Maternal Death rate </t>
  </si>
  <si>
    <t xml:space="preserve">Birth Rate </t>
  </si>
  <si>
    <t xml:space="preserve">Death Rate </t>
  </si>
  <si>
    <t>Infant Mortality</t>
  </si>
  <si>
    <t>Maternal Death</t>
  </si>
  <si>
    <t>TABLE - 5</t>
  </si>
  <si>
    <t>( PER THOUSAND POPULATION)</t>
  </si>
  <si>
    <t>Town</t>
  </si>
  <si>
    <t>Population 2011  (A)</t>
  </si>
  <si>
    <t xml:space="preserve">Population Adjusted for Incomplete Receipt of Returns </t>
  </si>
  <si>
    <t>Live Birth</t>
  </si>
  <si>
    <t>Death</t>
  </si>
  <si>
    <t>Infant Death</t>
  </si>
  <si>
    <t>Maternal Death Rate</t>
  </si>
  <si>
    <t>Kohima Town</t>
  </si>
  <si>
    <t>Dimapur Town</t>
  </si>
  <si>
    <t>Wokha Town</t>
  </si>
  <si>
    <t>Mokokchung Town</t>
  </si>
  <si>
    <t>Tuensang  Town</t>
  </si>
  <si>
    <t>KOHIMA</t>
  </si>
  <si>
    <t>PHEK</t>
  </si>
  <si>
    <t>MOKOKCHUNG</t>
  </si>
  <si>
    <t>WOKHA</t>
  </si>
  <si>
    <t>ZUNHEBOTO</t>
  </si>
  <si>
    <t>TUENSANG</t>
  </si>
  <si>
    <t>MON</t>
  </si>
  <si>
    <t>DIMAPUR</t>
  </si>
  <si>
    <t>PEREN</t>
  </si>
  <si>
    <t>LONGLENG</t>
  </si>
  <si>
    <t>KIPHIRE</t>
  </si>
  <si>
    <t>Sl.no.</t>
  </si>
  <si>
    <t>NUMBER OF EVENTS REGISTERED (COMBINED)</t>
  </si>
  <si>
    <t>1. Kohima</t>
  </si>
  <si>
    <t>2. Phek</t>
  </si>
  <si>
    <t>3. Mokokchung</t>
  </si>
  <si>
    <t>4. Wokha</t>
  </si>
  <si>
    <t>5. Zunheboto</t>
  </si>
  <si>
    <t>6. Tuensang</t>
  </si>
  <si>
    <t>7. Mon</t>
  </si>
  <si>
    <t>8. Dimapur</t>
  </si>
  <si>
    <t>9. Peren</t>
  </si>
  <si>
    <t>10. Longleng</t>
  </si>
  <si>
    <t>11. Kiphire</t>
  </si>
  <si>
    <t>TABLE - 18</t>
  </si>
  <si>
    <t>All areas</t>
  </si>
  <si>
    <t>Under 1 Week</t>
  </si>
  <si>
    <t>1. Week to Below 1 Month</t>
  </si>
  <si>
    <t>1 Month to Below 3 Months</t>
  </si>
  <si>
    <t>3 Months to Below 6 Months</t>
  </si>
  <si>
    <t>6 Month to Below 12 Months</t>
  </si>
  <si>
    <t>Total :</t>
  </si>
  <si>
    <t xml:space="preserve">Towns with Population 30,000 and Above </t>
  </si>
  <si>
    <t>All Other Urban Areas</t>
  </si>
  <si>
    <t>Total for All Urban Areas</t>
  </si>
  <si>
    <t>45-49</t>
  </si>
  <si>
    <t>50 and Above</t>
  </si>
  <si>
    <t>Total for All Areas</t>
  </si>
  <si>
    <t>Source:- Data Received from Registrars of Births and Deaths</t>
  </si>
  <si>
    <t>Type of attention at delivery</t>
  </si>
  <si>
    <t>INFANTS DEATHS BY SEX &amp; AGE DURING 2022</t>
  </si>
  <si>
    <t>TIME GAP IN REGISTRATION OF LIVE BIRTHS AND DEATHS DURING 2022</t>
  </si>
  <si>
    <t>NUMBER OF LIVE BIRTHS BY TYPE OF  DELIVERY ATTENTION DURING 2023</t>
  </si>
  <si>
    <t>NUMBER OF DEATHS BY TYPE OF MEDICAL ATTENTION RECEIVED DURING 2023</t>
  </si>
  <si>
    <t>VITAL STATISTICS BY RELIGION DURING 2023</t>
  </si>
  <si>
    <t>NUMBER OF BIRTHS, DEATHS AND INFANT DEATHS BY SEX, MATERNAL DEATHS AND STILL BIRTHS  REGISTERED DURING 2023</t>
  </si>
  <si>
    <t>VITAL STATISTICS BY MONTH AND SEX DURING 2023</t>
  </si>
  <si>
    <t>LIVE BIRTHS BY BIRTH ORDER AND AGE OF MOTHER IN  RURAL AREAS DURING 2023</t>
  </si>
  <si>
    <t>LIVE BIRTHS BY BIRTH ORDER AND LITERACY OF MOTHER IN URBAN AREAS DURING 2023</t>
  </si>
  <si>
    <t>DEATHS BY OCCUPATION AND SEX DURING 2023</t>
  </si>
  <si>
    <t>VITAL RATE BY DISTRICTS DURING 2023</t>
  </si>
  <si>
    <t>VITAL STATISTICS BY DISTRICT IN RURAL AREAS DURING 2023</t>
  </si>
  <si>
    <t>VITAL STATISTICS BY DISTRICT IN URBAN AREAS DURING 2023</t>
  </si>
  <si>
    <t>NUMBER OF BIRTHS, DEATHS AND INFANT DEATHS BY SEX, MATERNAL DEATHS AND STILL BIRTHS REGISTERED DURING 2023 (CONSOLIDATED)</t>
  </si>
  <si>
    <t>VITAL STATISTICS FOR TOWNS WITH POPULATION 30,000 AND ABOVE DURING 2023</t>
  </si>
  <si>
    <t>NUMBER OF DEATHS BY AGE AND SEX  DURING 2023</t>
  </si>
  <si>
    <t>LIVE BIRTHS BY BIRTH ORDER AND AGE OF MOTHER IN  URBAN AREAS DURING 2023</t>
  </si>
  <si>
    <t>LIVE BIRTHS BY BIRTH ORDER AND LITERACY OF MOTHER IN RURAL AREAS DURING 2023</t>
  </si>
  <si>
    <t>LIVE BIRTHS BY BIRTH ORDER AND LITERACY OF FATHER RURAL AREAS DURING 2023</t>
  </si>
  <si>
    <t>LIVE BIRTHS BY BIRTH ORDER AND LITERACY OF FATHER IN URBAN AREAS DURING 2023</t>
  </si>
  <si>
    <t>LIVE BIRTHS BY BIRTH ORDER AND OCCUPATION OF FATHER IN  RURAL AREAS DURING 2023</t>
  </si>
  <si>
    <t>LIVE BIRTHS BY BIRTH ORDER AND OCCUPATION OF FATHER  IN URBAN AREAS DURING 2023</t>
  </si>
  <si>
    <t>LIVE BIRTHS BY BIRTH ORDER AND FATHER'S RELIGION IN RURAL AREAS DURING 2023</t>
  </si>
  <si>
    <t xml:space="preserve">       LIVE BIRTHS BY BIRTH ORDER AND FATHER'S RELIGION IN URBAN AREAS DURING 2023</t>
  </si>
  <si>
    <t>MATERNAL DEATHS BY AGE DURING 2023</t>
  </si>
  <si>
    <t>TABLE- 9</t>
  </si>
  <si>
    <t>TABLE - 11(I)</t>
  </si>
  <si>
    <t>TABLE - 11(II)</t>
  </si>
  <si>
    <t>Table - 15(I)</t>
  </si>
  <si>
    <t>Table - 15(II)</t>
  </si>
  <si>
    <t>TABLE - 16</t>
  </si>
  <si>
    <t>TABLE - 19 (I)</t>
  </si>
  <si>
    <t>TABLE - 19 (II)</t>
  </si>
  <si>
    <t>TABLE-19 (III)</t>
  </si>
  <si>
    <t>TIME GAP IN REGISTRATION OF LIVE BIRTHS AND DEATHS IN URBAN AREAS DURING 2023</t>
  </si>
  <si>
    <t>TIME GAP IN REGISTRATION OF LIVE BIRTHS AND DEATHS IN RURAL AREAS DURING 2023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</si>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</sst>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2"/>
      <name val="Book Antiqua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sz val="10"/>
      <name val="Book Antiqua"/>
      <family val="1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0" borderId="0"/>
  </cellStyleXfs>
  <cellXfs count="246">
    <xf numFmtId="0" fontId="0" fillId="0" borderId="0" xfId="0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1" xfId="2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0" borderId="17" xfId="0" applyFont="1" applyBorder="1" applyAlignment="1">
      <alignment horizontal="left" vertical="center" wrapText="1"/>
    </xf>
    <xf numFmtId="0" fontId="4" fillId="0" borderId="26" xfId="0" applyFont="1" applyBorder="1"/>
    <xf numFmtId="0" fontId="7" fillId="0" borderId="1" xfId="0" applyFont="1" applyBorder="1" applyAlignment="1">
      <alignment horizontal="center" wrapText="1"/>
    </xf>
    <xf numFmtId="0" fontId="7" fillId="0" borderId="14" xfId="0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14" fillId="0" borderId="1" xfId="3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1" xfId="0" quotePrefix="1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5" fillId="0" borderId="4" xfId="0" applyFont="1" applyBorder="1"/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3" fillId="0" borderId="0" xfId="0" applyFont="1"/>
    <xf numFmtId="0" fontId="3" fillId="0" borderId="1" xfId="3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4" fillId="6" borderId="0" xfId="0" applyFont="1" applyFill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7" xfId="0" applyFont="1" applyBorder="1" applyAlignment="1">
      <alignment horizontal="left" vertical="center" wrapText="1"/>
    </xf>
    <xf numFmtId="0" fontId="7" fillId="0" borderId="1" xfId="0" applyFont="1" applyBorder="1"/>
    <xf numFmtId="165" fontId="3" fillId="2" borderId="4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1" fontId="0" fillId="0" borderId="4" xfId="0" applyNumberForma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 shrinkToFit="1"/>
    </xf>
    <xf numFmtId="0" fontId="3" fillId="0" borderId="4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</cellXfs>
  <cellStyles count="5">
    <cellStyle name="Bad" xfId="1" builtinId="27"/>
    <cellStyle name="Good" xfId="3" builtinId="26"/>
    <cellStyle name="Neutral" xfId="2" builtinId="28"/>
    <cellStyle name="Normal" xfId="0" builtinId="0"/>
    <cellStyle name="Normal 2" xfId="4" xr:uid="{00000000-0005-0000-0000-000004000000}"/>
  </cellStyles>
  <dxfs count="21"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771B0-E2E0-4775-86A8-75CEB46995A4}" name="Table1" displayName="Table1" ref="A3:R20" totalsRowShown="0" headerRowDxfId="20" dataDxfId="19" tableBorderDxfId="18">
  <autoFilter ref="A3:R20" xr:uid="{0B7771B0-E2E0-4775-86A8-75CEB46995A4}"/>
  <tableColumns count="18">
    <tableColumn id="1" xr3:uid="{69B55EA7-C016-4FC6-9AE5-08816B4363FC}" name="Column1" dataDxfId="17"/>
    <tableColumn id="2" xr3:uid="{ACCC56A6-1FA1-456A-8B29-2697A551C015}" name="Column2" dataDxfId="16"/>
    <tableColumn id="3" xr3:uid="{7157DB90-AF79-4986-A11C-8D3FE67827F0}" name="Column3" dataDxfId="15"/>
    <tableColumn id="4" xr3:uid="{9B255376-1C23-45B9-ABCF-09EE9E233104}" name="Column4" dataDxfId="14"/>
    <tableColumn id="5" xr3:uid="{BA8FED9A-1993-4A13-A1A7-D11E962BB361}" name="Column5" dataDxfId="13"/>
    <tableColumn id="6" xr3:uid="{70BDA94C-D543-4F33-B87C-DDC9492B3D4E}" name="Column6" dataDxfId="12"/>
    <tableColumn id="7" xr3:uid="{07A980A3-B03A-4019-8414-E9502DD76ABD}" name="Column7" dataDxfId="11"/>
    <tableColumn id="8" xr3:uid="{5C20F90B-6103-43AC-858D-17C0BCA411E9}" name="Column8" dataDxfId="10"/>
    <tableColumn id="9" xr3:uid="{13A24DF5-0253-46A1-BE68-999B997B3B2B}" name="Column9" dataDxfId="9"/>
    <tableColumn id="10" xr3:uid="{3BE57747-F4AC-4863-8250-450FFEAB5049}" name="Column10" dataDxfId="8"/>
    <tableColumn id="11" xr3:uid="{50544357-2E66-4D43-920B-A6652EE5369A}" name="Column11" dataDxfId="7"/>
    <tableColumn id="12" xr3:uid="{D6930F88-997C-4CA3-8ABE-21C06CD7EB1C}" name="Column12" dataDxfId="6"/>
    <tableColumn id="13" xr3:uid="{857BD5BC-557E-484E-ACD3-A49A210D58B9}" name="Column13" dataDxfId="5"/>
    <tableColumn id="14" xr3:uid="{07B0193E-BAD2-43B0-A43D-D1A786DB48F8}" name="Column14" dataDxfId="4"/>
    <tableColumn id="15" xr3:uid="{E5545B6B-F041-44A8-A0E3-40AD56AD895C}" name="Column15" dataDxfId="3"/>
    <tableColumn id="16" xr3:uid="{E0325821-4608-485E-B102-9C198A824A0A}" name="Column16" dataDxfId="2"/>
    <tableColumn id="17" xr3:uid="{43007C7D-BD59-497A-89EA-7CD093962C59}" name="Column17" dataDxfId="1"/>
    <tableColumn id="18" xr3:uid="{BB2D5847-1B65-4537-9257-301FA4E9E914}" name="Column18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H20"/>
  <sheetViews>
    <sheetView zoomScale="85" zoomScaleNormal="85" workbookViewId="0">
      <selection activeCell="M21" sqref="M21"/>
    </sheetView>
  </sheetViews>
  <sheetFormatPr defaultColWidth="9.140625" defaultRowHeight="15.75" x14ac:dyDescent="0.25"/>
  <cols>
    <col min="1" max="1" width="8.85546875" style="7" customWidth="1"/>
    <col min="2" max="8" width="17.28515625" style="7" customWidth="1"/>
    <col min="9" max="16384" width="9.140625" style="3"/>
  </cols>
  <sheetData>
    <row r="1" spans="1:8" s="7" customFormat="1" x14ac:dyDescent="0.25">
      <c r="A1" s="159" t="s">
        <v>141</v>
      </c>
      <c r="B1" s="159"/>
      <c r="C1" s="159"/>
      <c r="D1" s="159"/>
      <c r="E1" s="159"/>
      <c r="F1" s="159"/>
      <c r="G1" s="159"/>
      <c r="H1" s="159"/>
    </row>
    <row r="2" spans="1:8" s="7" customFormat="1" ht="16.5" customHeight="1" x14ac:dyDescent="0.25">
      <c r="A2" s="160" t="s">
        <v>227</v>
      </c>
      <c r="B2" s="160"/>
      <c r="C2" s="160"/>
      <c r="D2" s="160"/>
      <c r="E2" s="160"/>
      <c r="F2" s="160"/>
      <c r="G2" s="160"/>
      <c r="H2" s="160"/>
    </row>
    <row r="3" spans="1:8" s="7" customFormat="1" ht="15.75" customHeight="1" x14ac:dyDescent="0.25">
      <c r="A3" s="160"/>
      <c r="B3" s="160"/>
      <c r="C3" s="160"/>
      <c r="D3" s="160"/>
      <c r="E3" s="160"/>
      <c r="F3" s="160"/>
      <c r="G3" s="160"/>
      <c r="H3" s="160"/>
    </row>
    <row r="4" spans="1:8" s="7" customFormat="1" x14ac:dyDescent="0.25">
      <c r="A4" s="161" t="s">
        <v>111</v>
      </c>
      <c r="B4" s="161" t="s">
        <v>24</v>
      </c>
      <c r="C4" s="161" t="s">
        <v>142</v>
      </c>
      <c r="D4" s="161" t="s">
        <v>143</v>
      </c>
      <c r="E4" s="161" t="s">
        <v>144</v>
      </c>
      <c r="F4" s="162" t="s">
        <v>145</v>
      </c>
      <c r="G4" s="161" t="s">
        <v>146</v>
      </c>
      <c r="H4" s="161"/>
    </row>
    <row r="5" spans="1:8" s="7" customFormat="1" ht="73.900000000000006" customHeight="1" x14ac:dyDescent="0.25">
      <c r="A5" s="161"/>
      <c r="B5" s="161"/>
      <c r="C5" s="161"/>
      <c r="D5" s="161"/>
      <c r="E5" s="161"/>
      <c r="F5" s="162"/>
      <c r="G5" s="49" t="s">
        <v>0</v>
      </c>
      <c r="H5" s="49" t="s">
        <v>147</v>
      </c>
    </row>
    <row r="6" spans="1:8" s="7" customFormat="1" ht="16.899999999999999" customHeight="1" x14ac:dyDescent="0.25">
      <c r="A6" s="31">
        <v>0</v>
      </c>
      <c r="B6" s="32">
        <v>1</v>
      </c>
      <c r="C6" s="32">
        <v>2</v>
      </c>
      <c r="D6" s="32">
        <v>3</v>
      </c>
      <c r="E6" s="32">
        <v>4</v>
      </c>
      <c r="F6" s="69">
        <v>5</v>
      </c>
      <c r="G6" s="32">
        <v>6</v>
      </c>
      <c r="H6" s="32">
        <v>7</v>
      </c>
    </row>
    <row r="7" spans="1:8" s="7" customFormat="1" ht="26.45" customHeight="1" x14ac:dyDescent="0.25">
      <c r="A7" s="31">
        <v>1</v>
      </c>
      <c r="B7" s="11" t="s">
        <v>14</v>
      </c>
      <c r="C7" s="12">
        <v>146900</v>
      </c>
      <c r="D7" s="12">
        <v>116</v>
      </c>
      <c r="E7" s="12">
        <f>D7*12</f>
        <v>1392</v>
      </c>
      <c r="F7" s="27">
        <v>1032</v>
      </c>
      <c r="G7" s="13">
        <v>167280.9529634036</v>
      </c>
      <c r="H7" s="107">
        <f>ROUND(SUM(G7)/E7*F7,0)</f>
        <v>124019</v>
      </c>
    </row>
    <row r="8" spans="1:8" s="7" customFormat="1" ht="26.45" customHeight="1" x14ac:dyDescent="0.25">
      <c r="A8" s="31">
        <v>2</v>
      </c>
      <c r="B8" s="11" t="s">
        <v>13</v>
      </c>
      <c r="C8" s="12">
        <v>138843</v>
      </c>
      <c r="D8" s="12">
        <v>144</v>
      </c>
      <c r="E8" s="12">
        <f>D8*12</f>
        <v>1728</v>
      </c>
      <c r="F8" s="27">
        <v>1308</v>
      </c>
      <c r="G8" s="13">
        <v>158106.12220760959</v>
      </c>
      <c r="H8" s="107">
        <f t="shared" ref="H8:H17" si="0">ROUND(SUM(G8)/E8*F8,0)</f>
        <v>119678</v>
      </c>
    </row>
    <row r="9" spans="1:8" s="7" customFormat="1" ht="26.45" customHeight="1" x14ac:dyDescent="0.25">
      <c r="A9" s="31">
        <v>3</v>
      </c>
      <c r="B9" s="11" t="s">
        <v>12</v>
      </c>
      <c r="C9" s="12">
        <v>138897</v>
      </c>
      <c r="D9" s="12">
        <v>125</v>
      </c>
      <c r="E9" s="12">
        <f t="shared" ref="E9:E17" si="1">D9*12</f>
        <v>1500</v>
      </c>
      <c r="F9" s="27">
        <v>1200</v>
      </c>
      <c r="G9" s="13">
        <v>158167.61418487321</v>
      </c>
      <c r="H9" s="107">
        <f t="shared" si="0"/>
        <v>126534</v>
      </c>
    </row>
    <row r="10" spans="1:8" s="7" customFormat="1" ht="26.45" customHeight="1" x14ac:dyDescent="0.25">
      <c r="A10" s="31">
        <v>4</v>
      </c>
      <c r="B10" s="11" t="s">
        <v>11</v>
      </c>
      <c r="C10" s="12">
        <v>131339</v>
      </c>
      <c r="D10" s="12">
        <v>130</v>
      </c>
      <c r="E10" s="12">
        <f t="shared" si="1"/>
        <v>1560</v>
      </c>
      <c r="F10" s="27">
        <v>1152</v>
      </c>
      <c r="G10" s="13">
        <v>149561.01484860771</v>
      </c>
      <c r="H10" s="107">
        <f t="shared" si="0"/>
        <v>110445</v>
      </c>
    </row>
    <row r="11" spans="1:8" s="7" customFormat="1" ht="26.45" customHeight="1" x14ac:dyDescent="0.25">
      <c r="A11" s="31">
        <v>5</v>
      </c>
      <c r="B11" s="11" t="s">
        <v>10</v>
      </c>
      <c r="C11" s="12">
        <v>113160</v>
      </c>
      <c r="D11" s="12">
        <v>191</v>
      </c>
      <c r="E11" s="12">
        <f t="shared" si="1"/>
        <v>2292</v>
      </c>
      <c r="F11" s="27">
        <v>1860</v>
      </c>
      <c r="G11" s="13">
        <v>128859.85457684653</v>
      </c>
      <c r="H11" s="107">
        <f t="shared" si="0"/>
        <v>104572</v>
      </c>
    </row>
    <row r="12" spans="1:8" s="7" customFormat="1" ht="26.45" customHeight="1" x14ac:dyDescent="0.25">
      <c r="A12" s="31">
        <v>6</v>
      </c>
      <c r="B12" s="11" t="s">
        <v>9</v>
      </c>
      <c r="C12" s="12">
        <v>159822</v>
      </c>
      <c r="D12" s="12">
        <v>148</v>
      </c>
      <c r="E12" s="12">
        <f t="shared" si="1"/>
        <v>1776</v>
      </c>
      <c r="F12" s="27">
        <v>1380</v>
      </c>
      <c r="G12" s="13">
        <v>181995.75537452073</v>
      </c>
      <c r="H12" s="107">
        <f t="shared" si="0"/>
        <v>141416</v>
      </c>
    </row>
    <row r="13" spans="1:8" s="7" customFormat="1" ht="26.45" customHeight="1" x14ac:dyDescent="0.25">
      <c r="A13" s="31">
        <v>7</v>
      </c>
      <c r="B13" s="11" t="s">
        <v>8</v>
      </c>
      <c r="C13" s="12">
        <v>215816</v>
      </c>
      <c r="D13" s="12">
        <v>140</v>
      </c>
      <c r="E13" s="12">
        <f t="shared" si="1"/>
        <v>1680</v>
      </c>
      <c r="F13" s="27">
        <v>1440</v>
      </c>
      <c r="G13" s="13">
        <v>245758.38083560189</v>
      </c>
      <c r="H13" s="107">
        <f t="shared" si="0"/>
        <v>210650</v>
      </c>
    </row>
    <row r="14" spans="1:8" s="7" customFormat="1" ht="26.45" customHeight="1" x14ac:dyDescent="0.25">
      <c r="A14" s="31">
        <v>8</v>
      </c>
      <c r="B14" s="11" t="s">
        <v>7</v>
      </c>
      <c r="C14" s="12">
        <v>180942</v>
      </c>
      <c r="D14" s="12">
        <v>200</v>
      </c>
      <c r="E14" s="12">
        <f t="shared" si="1"/>
        <v>2400</v>
      </c>
      <c r="F14" s="27">
        <v>1836</v>
      </c>
      <c r="G14" s="13">
        <v>206045.95092650905</v>
      </c>
      <c r="H14" s="107">
        <f t="shared" si="0"/>
        <v>157625</v>
      </c>
    </row>
    <row r="15" spans="1:8" s="7" customFormat="1" ht="26.45" customHeight="1" x14ac:dyDescent="0.25">
      <c r="A15" s="31">
        <v>9</v>
      </c>
      <c r="B15" s="11" t="s">
        <v>6</v>
      </c>
      <c r="C15" s="12">
        <v>81429</v>
      </c>
      <c r="D15" s="12">
        <v>108</v>
      </c>
      <c r="E15" s="12">
        <f t="shared" si="1"/>
        <v>1296</v>
      </c>
      <c r="F15" s="27">
        <v>1068</v>
      </c>
      <c r="G15" s="13">
        <v>92726.485492559528</v>
      </c>
      <c r="H15" s="107">
        <f t="shared" si="0"/>
        <v>76413</v>
      </c>
    </row>
    <row r="16" spans="1:8" s="7" customFormat="1" ht="26.45" customHeight="1" x14ac:dyDescent="0.25">
      <c r="A16" s="31">
        <v>10</v>
      </c>
      <c r="B16" s="11" t="s">
        <v>5</v>
      </c>
      <c r="C16" s="12">
        <v>42871</v>
      </c>
      <c r="D16" s="12">
        <v>47</v>
      </c>
      <c r="E16" s="12">
        <f t="shared" si="1"/>
        <v>564</v>
      </c>
      <c r="F16" s="27">
        <v>480</v>
      </c>
      <c r="G16" s="13">
        <v>48818.936245705081</v>
      </c>
      <c r="H16" s="107">
        <f t="shared" si="0"/>
        <v>41548</v>
      </c>
    </row>
    <row r="17" spans="1:8" s="7" customFormat="1" ht="26.45" customHeight="1" x14ac:dyDescent="0.25">
      <c r="A17" s="31">
        <v>11</v>
      </c>
      <c r="B17" s="11" t="s">
        <v>4</v>
      </c>
      <c r="C17" s="12">
        <v>57517</v>
      </c>
      <c r="D17" s="12">
        <v>90</v>
      </c>
      <c r="E17" s="12">
        <f t="shared" si="1"/>
        <v>1080</v>
      </c>
      <c r="F17" s="27">
        <v>756</v>
      </c>
      <c r="G17" s="13">
        <v>65496.926967978805</v>
      </c>
      <c r="H17" s="107">
        <f t="shared" si="0"/>
        <v>45848</v>
      </c>
    </row>
    <row r="18" spans="1:8" s="7" customFormat="1" ht="26.45" customHeight="1" x14ac:dyDescent="0.25">
      <c r="A18" s="158" t="s">
        <v>148</v>
      </c>
      <c r="B18" s="158"/>
      <c r="C18" s="30">
        <f>SUM(C7:C17)</f>
        <v>1407536</v>
      </c>
      <c r="D18" s="30">
        <f t="shared" ref="D18:H18" si="2">SUM(D7:D17)</f>
        <v>1439</v>
      </c>
      <c r="E18" s="30">
        <f t="shared" si="2"/>
        <v>17268</v>
      </c>
      <c r="F18" s="47">
        <f t="shared" si="2"/>
        <v>13512</v>
      </c>
      <c r="G18" s="74">
        <f t="shared" si="2"/>
        <v>1602817.9946242156</v>
      </c>
      <c r="H18" s="74">
        <f t="shared" si="2"/>
        <v>1258748</v>
      </c>
    </row>
    <row r="20" spans="1:8" x14ac:dyDescent="0.25">
      <c r="A20" s="157" t="s">
        <v>214</v>
      </c>
      <c r="B20" s="157"/>
      <c r="C20" s="157"/>
      <c r="D20" s="157"/>
      <c r="E20" s="3"/>
    </row>
  </sheetData>
  <mergeCells count="11">
    <mergeCell ref="A20:D20"/>
    <mergeCell ref="A18:B18"/>
    <mergeCell ref="A1:H1"/>
    <mergeCell ref="A2:H3"/>
    <mergeCell ref="A4:A5"/>
    <mergeCell ref="B4:B5"/>
    <mergeCell ref="C4:C5"/>
    <mergeCell ref="D4:D5"/>
    <mergeCell ref="E4:E5"/>
    <mergeCell ref="F4:F5"/>
    <mergeCell ref="G4:H4"/>
  </mergeCells>
  <pageMargins left="0.7" right="0.7" top="0.54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H22"/>
  <sheetViews>
    <sheetView tabSelected="1" workbookViewId="0">
      <selection activeCell="N12" sqref="N12"/>
    </sheetView>
  </sheetViews>
  <sheetFormatPr defaultColWidth="9.140625" defaultRowHeight="15.75" x14ac:dyDescent="0.25"/>
  <cols>
    <col min="1" max="1" width="7.42578125" style="3" customWidth="1"/>
    <col min="2" max="2" width="15.28515625" style="3" customWidth="1"/>
    <col min="3" max="3" width="15.7109375" style="3" customWidth="1"/>
    <col min="4" max="4" width="16.7109375" style="3" customWidth="1"/>
    <col min="5" max="5" width="18.28515625" style="3" customWidth="1"/>
    <col min="6" max="6" width="15.5703125" style="3" customWidth="1"/>
    <col min="7" max="7" width="14.5703125" style="3" customWidth="1"/>
    <col min="8" max="8" width="19.85546875" style="3" customWidth="1"/>
    <col min="9" max="16384" width="9.140625" style="3"/>
  </cols>
  <sheetData>
    <row r="1" spans="1:8" s="7" customFormat="1" x14ac:dyDescent="0.25">
      <c r="A1" s="159" t="s">
        <v>149</v>
      </c>
      <c r="B1" s="159"/>
      <c r="C1" s="159"/>
      <c r="D1" s="159"/>
      <c r="E1" s="159"/>
      <c r="F1" s="159"/>
      <c r="G1" s="159"/>
      <c r="H1" s="159"/>
    </row>
    <row r="2" spans="1:8" s="7" customFormat="1" ht="16.5" customHeight="1" x14ac:dyDescent="0.25">
      <c r="A2" s="159" t="s">
        <v>228</v>
      </c>
      <c r="B2" s="165"/>
      <c r="C2" s="165"/>
      <c r="D2" s="165"/>
      <c r="E2" s="165"/>
      <c r="F2" s="165"/>
      <c r="G2" s="165"/>
      <c r="H2" s="165"/>
    </row>
    <row r="3" spans="1:8" s="7" customFormat="1" ht="15.75" customHeight="1" x14ac:dyDescent="0.25">
      <c r="A3" s="165"/>
      <c r="B3" s="165"/>
      <c r="C3" s="165"/>
      <c r="D3" s="165"/>
      <c r="E3" s="165"/>
      <c r="F3" s="165"/>
      <c r="G3" s="165"/>
      <c r="H3" s="165"/>
    </row>
    <row r="4" spans="1:8" s="7" customFormat="1" x14ac:dyDescent="0.25">
      <c r="A4" s="166" t="s">
        <v>86</v>
      </c>
      <c r="B4" s="166" t="s">
        <v>24</v>
      </c>
      <c r="C4" s="166" t="s">
        <v>142</v>
      </c>
      <c r="D4" s="166" t="s">
        <v>143</v>
      </c>
      <c r="E4" s="166" t="s">
        <v>144</v>
      </c>
      <c r="F4" s="166" t="s">
        <v>145</v>
      </c>
      <c r="G4" s="167" t="s">
        <v>146</v>
      </c>
      <c r="H4" s="167"/>
    </row>
    <row r="5" spans="1:8" s="7" customFormat="1" ht="52.9" customHeight="1" x14ac:dyDescent="0.25">
      <c r="A5" s="166"/>
      <c r="B5" s="166"/>
      <c r="C5" s="166"/>
      <c r="D5" s="166"/>
      <c r="E5" s="166"/>
      <c r="F5" s="166"/>
      <c r="G5" s="125" t="s">
        <v>0</v>
      </c>
      <c r="H5" s="126" t="s">
        <v>147</v>
      </c>
    </row>
    <row r="6" spans="1:8" s="7" customFormat="1" x14ac:dyDescent="0.25">
      <c r="A6" s="127">
        <v>0</v>
      </c>
      <c r="B6" s="127">
        <v>1</v>
      </c>
      <c r="C6" s="32">
        <v>2</v>
      </c>
      <c r="D6" s="32">
        <v>3</v>
      </c>
      <c r="E6" s="32">
        <v>4</v>
      </c>
      <c r="F6" s="32">
        <v>5</v>
      </c>
      <c r="G6" s="32">
        <v>6</v>
      </c>
      <c r="H6" s="32">
        <v>7</v>
      </c>
    </row>
    <row r="7" spans="1:8" s="7" customFormat="1" ht="25.15" customHeight="1" x14ac:dyDescent="0.25">
      <c r="A7" s="120">
        <v>1</v>
      </c>
      <c r="B7" s="120" t="s">
        <v>14</v>
      </c>
      <c r="C7" s="121">
        <v>121088</v>
      </c>
      <c r="D7" s="121">
        <v>5</v>
      </c>
      <c r="E7" s="122">
        <f>D7*12</f>
        <v>60</v>
      </c>
      <c r="F7" s="122">
        <v>60</v>
      </c>
      <c r="G7" s="123">
        <v>137887.78783139971</v>
      </c>
      <c r="H7" s="124">
        <f>ROUND(SUM(G7)/E7*F7,0)</f>
        <v>137888</v>
      </c>
    </row>
    <row r="8" spans="1:8" s="7" customFormat="1" ht="25.15" customHeight="1" x14ac:dyDescent="0.25">
      <c r="A8" s="14">
        <v>2</v>
      </c>
      <c r="B8" s="14" t="s">
        <v>13</v>
      </c>
      <c r="C8" s="15">
        <v>24575</v>
      </c>
      <c r="D8" s="15">
        <v>2</v>
      </c>
      <c r="E8" s="16">
        <f t="shared" ref="E8:E17" si="0">D8*12</f>
        <v>24</v>
      </c>
      <c r="F8" s="16">
        <v>24</v>
      </c>
      <c r="G8" s="17">
        <v>27984.543356539441</v>
      </c>
      <c r="H8" s="119">
        <f t="shared" ref="H8:H17" si="1">ROUND(SUM(G8)/E8*F8,0)</f>
        <v>27985</v>
      </c>
    </row>
    <row r="9" spans="1:8" s="7" customFormat="1" ht="25.15" customHeight="1" x14ac:dyDescent="0.25">
      <c r="A9" s="14">
        <v>3</v>
      </c>
      <c r="B9" s="14" t="s">
        <v>12</v>
      </c>
      <c r="C9" s="15">
        <v>55725</v>
      </c>
      <c r="D9" s="15">
        <v>3</v>
      </c>
      <c r="E9" s="16">
        <f t="shared" si="0"/>
        <v>36</v>
      </c>
      <c r="F9" s="16">
        <v>36</v>
      </c>
      <c r="G9" s="17">
        <v>63456.304315082823</v>
      </c>
      <c r="H9" s="119">
        <f t="shared" si="1"/>
        <v>63456</v>
      </c>
    </row>
    <row r="10" spans="1:8" s="7" customFormat="1" ht="25.15" customHeight="1" x14ac:dyDescent="0.25">
      <c r="A10" s="14">
        <v>4</v>
      </c>
      <c r="B10" s="14" t="s">
        <v>11</v>
      </c>
      <c r="C10" s="15">
        <v>35004</v>
      </c>
      <c r="D10" s="15">
        <v>3</v>
      </c>
      <c r="E10" s="16">
        <f t="shared" si="0"/>
        <v>36</v>
      </c>
      <c r="F10" s="16">
        <v>36</v>
      </c>
      <c r="G10" s="17">
        <v>39860.466150653374</v>
      </c>
      <c r="H10" s="119">
        <f t="shared" si="1"/>
        <v>39860</v>
      </c>
    </row>
    <row r="11" spans="1:8" s="7" customFormat="1" ht="25.15" customHeight="1" x14ac:dyDescent="0.25">
      <c r="A11" s="14">
        <v>5</v>
      </c>
      <c r="B11" s="14" t="s">
        <v>10</v>
      </c>
      <c r="C11" s="15">
        <v>27597</v>
      </c>
      <c r="D11" s="15">
        <v>2</v>
      </c>
      <c r="E11" s="16">
        <f t="shared" si="0"/>
        <v>24</v>
      </c>
      <c r="F11" s="16">
        <v>24</v>
      </c>
      <c r="G11" s="17">
        <v>31425.816602662013</v>
      </c>
      <c r="H11" s="119">
        <f t="shared" si="1"/>
        <v>31426</v>
      </c>
    </row>
    <row r="12" spans="1:8" s="7" customFormat="1" ht="25.15" customHeight="1" x14ac:dyDescent="0.25">
      <c r="A12" s="14">
        <v>6</v>
      </c>
      <c r="B12" s="14" t="s">
        <v>9</v>
      </c>
      <c r="C12" s="15">
        <v>36774</v>
      </c>
      <c r="D12" s="15">
        <v>3</v>
      </c>
      <c r="E12" s="16">
        <f t="shared" si="0"/>
        <v>36</v>
      </c>
      <c r="F12" s="16">
        <v>36</v>
      </c>
      <c r="G12" s="17">
        <v>41876.036516516026</v>
      </c>
      <c r="H12" s="119">
        <f t="shared" si="1"/>
        <v>41876</v>
      </c>
    </row>
    <row r="13" spans="1:8" s="7" customFormat="1" ht="25.15" customHeight="1" x14ac:dyDescent="0.25">
      <c r="A13" s="14">
        <v>7</v>
      </c>
      <c r="B13" s="14" t="s">
        <v>8</v>
      </c>
      <c r="C13" s="15">
        <v>34444</v>
      </c>
      <c r="D13" s="15">
        <v>3</v>
      </c>
      <c r="E13" s="16">
        <f t="shared" si="0"/>
        <v>36</v>
      </c>
      <c r="F13" s="16">
        <v>36</v>
      </c>
      <c r="G13" s="17">
        <v>39222.77157162338</v>
      </c>
      <c r="H13" s="119">
        <f t="shared" si="1"/>
        <v>39223</v>
      </c>
    </row>
    <row r="14" spans="1:8" s="7" customFormat="1" ht="25.15" customHeight="1" x14ac:dyDescent="0.25">
      <c r="A14" s="14">
        <v>8</v>
      </c>
      <c r="B14" s="14" t="s">
        <v>7</v>
      </c>
      <c r="C14" s="15">
        <v>197869</v>
      </c>
      <c r="D14" s="15">
        <v>5</v>
      </c>
      <c r="E14" s="16">
        <f t="shared" si="0"/>
        <v>60</v>
      </c>
      <c r="F14" s="16">
        <v>60</v>
      </c>
      <c r="G14" s="17">
        <v>225321.4083180103</v>
      </c>
      <c r="H14" s="119">
        <f t="shared" si="1"/>
        <v>225321</v>
      </c>
    </row>
    <row r="15" spans="1:8" s="7" customFormat="1" ht="25.15" customHeight="1" x14ac:dyDescent="0.25">
      <c r="A15" s="14">
        <v>9</v>
      </c>
      <c r="B15" s="14" t="s">
        <v>6</v>
      </c>
      <c r="C15" s="15">
        <v>13790</v>
      </c>
      <c r="D15" s="15">
        <v>2</v>
      </c>
      <c r="E15" s="16">
        <f t="shared" si="0"/>
        <v>24</v>
      </c>
      <c r="F15" s="16">
        <v>24</v>
      </c>
      <c r="G15" s="18">
        <v>15703.229008613587</v>
      </c>
      <c r="H15" s="119">
        <f t="shared" si="1"/>
        <v>15703</v>
      </c>
    </row>
    <row r="16" spans="1:8" s="7" customFormat="1" ht="25.15" customHeight="1" x14ac:dyDescent="0.25">
      <c r="A16" s="14">
        <v>10</v>
      </c>
      <c r="B16" s="14" t="s">
        <v>5</v>
      </c>
      <c r="C16" s="15">
        <v>7613</v>
      </c>
      <c r="D16" s="15">
        <v>2</v>
      </c>
      <c r="E16" s="16">
        <f t="shared" si="0"/>
        <v>24</v>
      </c>
      <c r="F16" s="16">
        <v>24</v>
      </c>
      <c r="G16" s="17">
        <v>8669.2300538488216</v>
      </c>
      <c r="H16" s="119">
        <f t="shared" si="1"/>
        <v>8669</v>
      </c>
    </row>
    <row r="17" spans="1:8" s="7" customFormat="1" ht="25.15" customHeight="1" x14ac:dyDescent="0.25">
      <c r="A17" s="14">
        <v>11</v>
      </c>
      <c r="B17" s="14" t="s">
        <v>4</v>
      </c>
      <c r="C17" s="15">
        <v>16487</v>
      </c>
      <c r="D17" s="15">
        <v>2</v>
      </c>
      <c r="E17" s="16">
        <f t="shared" si="0"/>
        <v>24</v>
      </c>
      <c r="F17" s="16">
        <v>24</v>
      </c>
      <c r="G17" s="17">
        <v>18774.411650834823</v>
      </c>
      <c r="H17" s="119">
        <f t="shared" si="1"/>
        <v>18774</v>
      </c>
    </row>
    <row r="18" spans="1:8" s="7" customFormat="1" ht="25.15" customHeight="1" x14ac:dyDescent="0.25">
      <c r="A18" s="163" t="s">
        <v>150</v>
      </c>
      <c r="B18" s="164"/>
      <c r="C18" s="19">
        <f>SUM(C7:C17)</f>
        <v>570966</v>
      </c>
      <c r="D18" s="19">
        <f t="shared" ref="D18:G18" si="2">SUM(D7:D17)</f>
        <v>32</v>
      </c>
      <c r="E18" s="19">
        <f t="shared" si="2"/>
        <v>384</v>
      </c>
      <c r="F18" s="19">
        <f t="shared" si="2"/>
        <v>384</v>
      </c>
      <c r="G18" s="19">
        <f t="shared" si="2"/>
        <v>650182.00537578436</v>
      </c>
      <c r="H18" s="19">
        <f>SUM(H7:H17)</f>
        <v>650181</v>
      </c>
    </row>
    <row r="20" spans="1:8" x14ac:dyDescent="0.25">
      <c r="A20" s="157" t="s">
        <v>214</v>
      </c>
      <c r="B20" s="157"/>
      <c r="C20" s="157"/>
      <c r="D20" s="157"/>
    </row>
    <row r="22" spans="1:8" x14ac:dyDescent="0.25">
      <c r="F22" s="3" t="s">
        <v>110</v>
      </c>
    </row>
  </sheetData>
  <mergeCells count="11">
    <mergeCell ref="A20:D20"/>
    <mergeCell ref="A18:B18"/>
    <mergeCell ref="A1:H1"/>
    <mergeCell ref="A2:H3"/>
    <mergeCell ref="A4:A5"/>
    <mergeCell ref="B4:B5"/>
    <mergeCell ref="C4:C5"/>
    <mergeCell ref="D4:D5"/>
    <mergeCell ref="E4:E5"/>
    <mergeCell ref="F4:F5"/>
    <mergeCell ref="G4:H4"/>
  </mergeCells>
  <pageMargins left="0.89" right="0.18" top="0.75" bottom="0.75" header="0.3" footer="0.3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R42"/>
  <sheetViews>
    <sheetView topLeftCell="A28" workbookViewId="0">
      <selection activeCell="I40" sqref="I40"/>
    </sheetView>
  </sheetViews>
  <sheetFormatPr defaultColWidth="9.140625" defaultRowHeight="15.75" x14ac:dyDescent="0.25"/>
  <cols>
    <col min="1" max="1" width="6.28515625" style="61" customWidth="1"/>
    <col min="2" max="2" width="13.7109375" style="61" customWidth="1"/>
    <col min="3" max="6" width="9.140625" style="61"/>
    <col min="7" max="7" width="8.42578125" style="61" customWidth="1"/>
    <col min="8" max="9" width="9.140625" style="61"/>
    <col min="10" max="12" width="6.28515625" style="61" customWidth="1"/>
    <col min="13" max="13" width="10.7109375" style="61" customWidth="1"/>
    <col min="14" max="16" width="6.28515625" style="61" customWidth="1"/>
    <col min="17" max="16384" width="9.140625" style="61"/>
  </cols>
  <sheetData>
    <row r="1" spans="1:18" x14ac:dyDescent="0.25">
      <c r="A1" s="168" t="s">
        <v>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8" ht="31.5" customHeight="1" x14ac:dyDescent="0.25">
      <c r="A2" s="169" t="s">
        <v>221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8" ht="30" customHeight="1" x14ac:dyDescent="0.25">
      <c r="A3" s="170" t="s">
        <v>25</v>
      </c>
      <c r="B3" s="171" t="s">
        <v>24</v>
      </c>
      <c r="C3" s="50" t="s">
        <v>23</v>
      </c>
      <c r="D3" s="171" t="s">
        <v>22</v>
      </c>
      <c r="E3" s="171"/>
      <c r="F3" s="171"/>
      <c r="G3" s="171" t="s">
        <v>21</v>
      </c>
      <c r="H3" s="171"/>
      <c r="I3" s="171"/>
      <c r="J3" s="171" t="s">
        <v>20</v>
      </c>
      <c r="K3" s="171"/>
      <c r="L3" s="171"/>
      <c r="M3" s="50" t="s">
        <v>19</v>
      </c>
      <c r="N3" s="171" t="s">
        <v>18</v>
      </c>
      <c r="O3" s="171"/>
      <c r="P3" s="171"/>
    </row>
    <row r="4" spans="1:18" s="53" customFormat="1" x14ac:dyDescent="0.25">
      <c r="A4" s="170"/>
      <c r="B4" s="171"/>
      <c r="C4" s="51" t="s">
        <v>0</v>
      </c>
      <c r="D4" s="94" t="s">
        <v>17</v>
      </c>
      <c r="E4" s="94" t="s">
        <v>16</v>
      </c>
      <c r="F4" s="94" t="s">
        <v>15</v>
      </c>
      <c r="G4" s="94" t="s">
        <v>17</v>
      </c>
      <c r="H4" s="94" t="s">
        <v>16</v>
      </c>
      <c r="I4" s="94" t="s">
        <v>15</v>
      </c>
      <c r="J4" s="26" t="s">
        <v>17</v>
      </c>
      <c r="K4" s="26" t="s">
        <v>16</v>
      </c>
      <c r="L4" s="26" t="s">
        <v>15</v>
      </c>
      <c r="M4" s="52" t="s">
        <v>16</v>
      </c>
      <c r="N4" s="52" t="s">
        <v>17</v>
      </c>
      <c r="O4" s="52" t="s">
        <v>16</v>
      </c>
      <c r="P4" s="52" t="s">
        <v>15</v>
      </c>
    </row>
    <row r="5" spans="1:18" ht="16.5" customHeight="1" x14ac:dyDescent="0.25">
      <c r="A5" s="171">
        <v>1</v>
      </c>
      <c r="B5" s="172" t="s">
        <v>14</v>
      </c>
      <c r="C5" s="54" t="s">
        <v>2</v>
      </c>
      <c r="D5" s="54">
        <v>1625</v>
      </c>
      <c r="E5" s="54">
        <v>1783</v>
      </c>
      <c r="F5" s="54">
        <f>SUM(D5:E5)</f>
        <v>3408</v>
      </c>
      <c r="G5" s="54">
        <v>146</v>
      </c>
      <c r="H5" s="54">
        <v>81</v>
      </c>
      <c r="I5" s="54">
        <f>SUM(G5:H5)</f>
        <v>227</v>
      </c>
      <c r="J5" s="56">
        <v>0</v>
      </c>
      <c r="K5" s="54">
        <v>0</v>
      </c>
      <c r="L5" s="54">
        <v>0</v>
      </c>
      <c r="M5" s="54">
        <v>0</v>
      </c>
      <c r="N5" s="54">
        <v>0</v>
      </c>
      <c r="O5" s="54">
        <v>0</v>
      </c>
      <c r="P5" s="54">
        <f>SUM(N5:O5)</f>
        <v>0</v>
      </c>
    </row>
    <row r="6" spans="1:18" ht="16.5" customHeight="1" x14ac:dyDescent="0.25">
      <c r="A6" s="171"/>
      <c r="B6" s="172"/>
      <c r="C6" s="54" t="s">
        <v>1</v>
      </c>
      <c r="D6" s="54">
        <f>600+266</f>
        <v>866</v>
      </c>
      <c r="E6" s="54">
        <f>580+237</f>
        <v>817</v>
      </c>
      <c r="F6" s="54">
        <f>SUM(D6:E6)</f>
        <v>1683</v>
      </c>
      <c r="G6" s="63">
        <f>109+129</f>
        <v>238</v>
      </c>
      <c r="H6" s="63">
        <f>57+74</f>
        <v>131</v>
      </c>
      <c r="I6" s="54">
        <f t="shared" ref="I6:I37" si="0">SUM(G6:H6)</f>
        <v>369</v>
      </c>
      <c r="J6" s="56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f t="shared" ref="P6:P12" si="1">SUM(N6:O6)</f>
        <v>0</v>
      </c>
    </row>
    <row r="7" spans="1:18" s="53" customFormat="1" ht="16.149999999999999" customHeight="1" x14ac:dyDescent="0.25">
      <c r="A7" s="171"/>
      <c r="B7" s="172"/>
      <c r="C7" s="55" t="s">
        <v>0</v>
      </c>
      <c r="D7" s="59">
        <f>SUM(D5:D6)</f>
        <v>2491</v>
      </c>
      <c r="E7" s="59">
        <f t="shared" ref="E7:P7" si="2">SUM(E5:E6)</f>
        <v>2600</v>
      </c>
      <c r="F7" s="59">
        <f t="shared" ref="F7:F37" si="3">SUM(D7:E7)</f>
        <v>5091</v>
      </c>
      <c r="G7" s="59">
        <f t="shared" si="2"/>
        <v>384</v>
      </c>
      <c r="H7" s="59">
        <f t="shared" si="2"/>
        <v>212</v>
      </c>
      <c r="I7" s="54">
        <f t="shared" si="0"/>
        <v>596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R7" s="61"/>
    </row>
    <row r="8" spans="1:18" ht="16.5" customHeight="1" x14ac:dyDescent="0.25">
      <c r="A8" s="171">
        <v>2</v>
      </c>
      <c r="B8" s="172" t="s">
        <v>13</v>
      </c>
      <c r="C8" s="54" t="s">
        <v>2</v>
      </c>
      <c r="D8" s="63">
        <v>1794</v>
      </c>
      <c r="E8" s="63">
        <v>1846</v>
      </c>
      <c r="F8" s="54">
        <f t="shared" si="3"/>
        <v>3640</v>
      </c>
      <c r="G8" s="57">
        <v>100</v>
      </c>
      <c r="H8" s="58">
        <v>42</v>
      </c>
      <c r="I8" s="54">
        <f t="shared" si="0"/>
        <v>142</v>
      </c>
      <c r="J8" s="62">
        <v>3</v>
      </c>
      <c r="K8" s="62">
        <v>1</v>
      </c>
      <c r="L8" s="63">
        <f>J8+K8</f>
        <v>4</v>
      </c>
      <c r="M8" s="63">
        <v>0</v>
      </c>
      <c r="N8" s="63">
        <v>0</v>
      </c>
      <c r="O8" s="63">
        <v>0</v>
      </c>
      <c r="P8" s="54">
        <f t="shared" si="1"/>
        <v>0</v>
      </c>
    </row>
    <row r="9" spans="1:18" ht="16.5" customHeight="1" x14ac:dyDescent="0.25">
      <c r="A9" s="171"/>
      <c r="B9" s="172"/>
      <c r="C9" s="54" t="s">
        <v>1</v>
      </c>
      <c r="D9" s="63">
        <v>215</v>
      </c>
      <c r="E9" s="63">
        <v>199</v>
      </c>
      <c r="F9" s="54">
        <f t="shared" si="3"/>
        <v>414</v>
      </c>
      <c r="G9" s="2">
        <v>32</v>
      </c>
      <c r="H9" s="64">
        <v>22</v>
      </c>
      <c r="I9" s="54">
        <f t="shared" si="0"/>
        <v>54</v>
      </c>
      <c r="J9" s="62">
        <v>0</v>
      </c>
      <c r="K9" s="62">
        <v>2</v>
      </c>
      <c r="L9" s="63">
        <f>J9+K9</f>
        <v>2</v>
      </c>
      <c r="M9" s="63">
        <v>0</v>
      </c>
      <c r="N9" s="63">
        <v>0</v>
      </c>
      <c r="O9" s="63">
        <v>0</v>
      </c>
      <c r="P9" s="54">
        <f t="shared" si="1"/>
        <v>0</v>
      </c>
    </row>
    <row r="10" spans="1:18" s="53" customFormat="1" ht="16.5" customHeight="1" x14ac:dyDescent="0.25">
      <c r="A10" s="171"/>
      <c r="B10" s="172"/>
      <c r="C10" s="55" t="s">
        <v>0</v>
      </c>
      <c r="D10" s="47">
        <f>SUM(D8:D9)</f>
        <v>2009</v>
      </c>
      <c r="E10" s="47">
        <f t="shared" ref="E10:P10" si="4">SUM(E8:E9)</f>
        <v>2045</v>
      </c>
      <c r="F10" s="59">
        <f t="shared" si="3"/>
        <v>4054</v>
      </c>
      <c r="G10" s="47">
        <f t="shared" si="4"/>
        <v>132</v>
      </c>
      <c r="H10" s="47">
        <f t="shared" si="4"/>
        <v>64</v>
      </c>
      <c r="I10" s="54">
        <f>SUM(G10:H10)</f>
        <v>196</v>
      </c>
      <c r="J10" s="47">
        <f t="shared" si="4"/>
        <v>3</v>
      </c>
      <c r="K10" s="47">
        <f t="shared" si="4"/>
        <v>3</v>
      </c>
      <c r="L10" s="47">
        <f t="shared" si="4"/>
        <v>6</v>
      </c>
      <c r="M10" s="47">
        <f t="shared" si="4"/>
        <v>0</v>
      </c>
      <c r="N10" s="47">
        <f t="shared" si="4"/>
        <v>0</v>
      </c>
      <c r="O10" s="47">
        <f t="shared" si="4"/>
        <v>0</v>
      </c>
      <c r="P10" s="47">
        <f t="shared" si="4"/>
        <v>0</v>
      </c>
      <c r="R10" s="61"/>
    </row>
    <row r="11" spans="1:18" ht="16.5" customHeight="1" x14ac:dyDescent="0.25">
      <c r="A11" s="171">
        <v>3</v>
      </c>
      <c r="B11" s="172" t="s">
        <v>12</v>
      </c>
      <c r="C11" s="54" t="s">
        <v>2</v>
      </c>
      <c r="D11" s="54">
        <v>1190</v>
      </c>
      <c r="E11" s="54">
        <v>1167</v>
      </c>
      <c r="F11" s="54">
        <f t="shared" si="3"/>
        <v>2357</v>
      </c>
      <c r="G11" s="54">
        <v>150</v>
      </c>
      <c r="H11" s="54">
        <v>79</v>
      </c>
      <c r="I11" s="54">
        <f t="shared" si="0"/>
        <v>229</v>
      </c>
      <c r="J11" s="62">
        <v>0</v>
      </c>
      <c r="K11" s="62">
        <v>0</v>
      </c>
      <c r="L11" s="54">
        <v>0</v>
      </c>
      <c r="M11" s="63">
        <v>0</v>
      </c>
      <c r="N11" s="63">
        <v>0</v>
      </c>
      <c r="O11" s="63">
        <v>0</v>
      </c>
      <c r="P11" s="54">
        <f t="shared" si="1"/>
        <v>0</v>
      </c>
    </row>
    <row r="12" spans="1:18" ht="16.5" customHeight="1" x14ac:dyDescent="0.25">
      <c r="A12" s="171"/>
      <c r="B12" s="172"/>
      <c r="C12" s="54" t="s">
        <v>1</v>
      </c>
      <c r="D12" s="54">
        <v>428</v>
      </c>
      <c r="E12" s="54">
        <v>464</v>
      </c>
      <c r="F12" s="54">
        <f t="shared" si="3"/>
        <v>892</v>
      </c>
      <c r="G12" s="54">
        <v>158</v>
      </c>
      <c r="H12" s="54">
        <v>81</v>
      </c>
      <c r="I12" s="54">
        <f t="shared" si="0"/>
        <v>239</v>
      </c>
      <c r="J12" s="62">
        <v>0</v>
      </c>
      <c r="K12" s="62">
        <v>0</v>
      </c>
      <c r="L12" s="54">
        <v>0</v>
      </c>
      <c r="M12" s="63">
        <v>0</v>
      </c>
      <c r="N12" s="63">
        <v>0</v>
      </c>
      <c r="O12" s="63">
        <v>0</v>
      </c>
      <c r="P12" s="54">
        <f t="shared" si="1"/>
        <v>0</v>
      </c>
    </row>
    <row r="13" spans="1:18" s="53" customFormat="1" ht="16.5" customHeight="1" x14ac:dyDescent="0.25">
      <c r="A13" s="171"/>
      <c r="B13" s="172"/>
      <c r="C13" s="55" t="s">
        <v>0</v>
      </c>
      <c r="D13" s="59">
        <f>SUM(D11:D12)</f>
        <v>1618</v>
      </c>
      <c r="E13" s="59">
        <f t="shared" ref="E13:P13" si="5">SUM(E11:E12)</f>
        <v>1631</v>
      </c>
      <c r="F13" s="59">
        <f t="shared" si="3"/>
        <v>3249</v>
      </c>
      <c r="G13" s="59">
        <f t="shared" si="5"/>
        <v>308</v>
      </c>
      <c r="H13" s="59">
        <f t="shared" si="5"/>
        <v>160</v>
      </c>
      <c r="I13" s="54">
        <f t="shared" si="0"/>
        <v>468</v>
      </c>
      <c r="J13" s="59">
        <f t="shared" si="5"/>
        <v>0</v>
      </c>
      <c r="K13" s="59">
        <f t="shared" si="5"/>
        <v>0</v>
      </c>
      <c r="L13" s="59">
        <f t="shared" si="5"/>
        <v>0</v>
      </c>
      <c r="M13" s="59">
        <f t="shared" si="5"/>
        <v>0</v>
      </c>
      <c r="N13" s="59">
        <f t="shared" si="5"/>
        <v>0</v>
      </c>
      <c r="O13" s="59">
        <f t="shared" si="5"/>
        <v>0</v>
      </c>
      <c r="P13" s="59">
        <f t="shared" si="5"/>
        <v>0</v>
      </c>
    </row>
    <row r="14" spans="1:18" ht="16.5" customHeight="1" x14ac:dyDescent="0.25">
      <c r="A14" s="171">
        <v>4</v>
      </c>
      <c r="B14" s="172" t="s">
        <v>11</v>
      </c>
      <c r="C14" s="54" t="s">
        <v>2</v>
      </c>
      <c r="D14" s="63">
        <v>331</v>
      </c>
      <c r="E14" s="63">
        <v>343</v>
      </c>
      <c r="F14" s="54">
        <f t="shared" si="3"/>
        <v>674</v>
      </c>
      <c r="G14" s="63">
        <v>10</v>
      </c>
      <c r="H14" s="63">
        <v>3</v>
      </c>
      <c r="I14" s="54">
        <f t="shared" si="0"/>
        <v>13</v>
      </c>
      <c r="J14" s="62">
        <v>0</v>
      </c>
      <c r="K14" s="62">
        <v>0</v>
      </c>
      <c r="L14" s="54">
        <v>0</v>
      </c>
      <c r="M14" s="63">
        <v>0</v>
      </c>
      <c r="N14" s="63">
        <v>0</v>
      </c>
      <c r="O14" s="63">
        <v>0</v>
      </c>
      <c r="P14" s="54">
        <v>0</v>
      </c>
    </row>
    <row r="15" spans="1:18" ht="16.5" customHeight="1" x14ac:dyDescent="0.25">
      <c r="A15" s="171"/>
      <c r="B15" s="172"/>
      <c r="C15" s="54" t="s">
        <v>1</v>
      </c>
      <c r="D15" s="63">
        <f>311+41</f>
        <v>352</v>
      </c>
      <c r="E15" s="63">
        <f>315+35</f>
        <v>350</v>
      </c>
      <c r="F15" s="54">
        <f t="shared" si="3"/>
        <v>702</v>
      </c>
      <c r="G15" s="63">
        <f>30+7</f>
        <v>37</v>
      </c>
      <c r="H15" s="63">
        <f>5+3</f>
        <v>8</v>
      </c>
      <c r="I15" s="54">
        <f t="shared" si="0"/>
        <v>45</v>
      </c>
      <c r="J15" s="62">
        <v>0</v>
      </c>
      <c r="K15" s="62">
        <v>0</v>
      </c>
      <c r="L15" s="54">
        <v>0</v>
      </c>
      <c r="M15" s="63">
        <v>0</v>
      </c>
      <c r="N15" s="63">
        <v>0</v>
      </c>
      <c r="O15" s="63">
        <v>0</v>
      </c>
      <c r="P15" s="54">
        <v>0</v>
      </c>
    </row>
    <row r="16" spans="1:18" s="53" customFormat="1" ht="16.5" customHeight="1" x14ac:dyDescent="0.25">
      <c r="A16" s="171"/>
      <c r="B16" s="172"/>
      <c r="C16" s="55" t="s">
        <v>0</v>
      </c>
      <c r="D16" s="47">
        <f>SUM(D14:D15)</f>
        <v>683</v>
      </c>
      <c r="E16" s="47">
        <f t="shared" ref="E16:P16" si="6">SUM(E14:E15)</f>
        <v>693</v>
      </c>
      <c r="F16" s="59">
        <f t="shared" si="3"/>
        <v>1376</v>
      </c>
      <c r="G16" s="47">
        <f t="shared" si="6"/>
        <v>47</v>
      </c>
      <c r="H16" s="47">
        <f t="shared" si="6"/>
        <v>11</v>
      </c>
      <c r="I16" s="54">
        <f t="shared" si="0"/>
        <v>58</v>
      </c>
      <c r="J16" s="47">
        <f t="shared" si="6"/>
        <v>0</v>
      </c>
      <c r="K16" s="47">
        <f t="shared" si="6"/>
        <v>0</v>
      </c>
      <c r="L16" s="47">
        <f t="shared" si="6"/>
        <v>0</v>
      </c>
      <c r="M16" s="47">
        <f t="shared" si="6"/>
        <v>0</v>
      </c>
      <c r="N16" s="47">
        <f t="shared" si="6"/>
        <v>0</v>
      </c>
      <c r="O16" s="47">
        <f t="shared" si="6"/>
        <v>0</v>
      </c>
      <c r="P16" s="47">
        <f t="shared" si="6"/>
        <v>0</v>
      </c>
    </row>
    <row r="17" spans="1:16" ht="16.5" customHeight="1" x14ac:dyDescent="0.25">
      <c r="A17" s="171">
        <v>5</v>
      </c>
      <c r="B17" s="172" t="s">
        <v>10</v>
      </c>
      <c r="C17" s="54" t="s">
        <v>2</v>
      </c>
      <c r="D17" s="54">
        <v>1532</v>
      </c>
      <c r="E17" s="54">
        <v>1406</v>
      </c>
      <c r="F17" s="54">
        <f t="shared" si="3"/>
        <v>2938</v>
      </c>
      <c r="G17" s="27">
        <v>45</v>
      </c>
      <c r="H17" s="27">
        <v>25</v>
      </c>
      <c r="I17" s="54">
        <f t="shared" si="0"/>
        <v>70</v>
      </c>
      <c r="J17" s="62">
        <v>0</v>
      </c>
      <c r="K17" s="62">
        <v>0</v>
      </c>
      <c r="L17" s="54">
        <v>0</v>
      </c>
      <c r="M17" s="54">
        <v>0</v>
      </c>
      <c r="N17" s="54">
        <v>0</v>
      </c>
      <c r="O17" s="54">
        <v>0</v>
      </c>
      <c r="P17" s="54">
        <f>SUM(N17:O17)</f>
        <v>0</v>
      </c>
    </row>
    <row r="18" spans="1:16" ht="16.5" customHeight="1" x14ac:dyDescent="0.25">
      <c r="A18" s="171"/>
      <c r="B18" s="172"/>
      <c r="C18" s="54" t="s">
        <v>1</v>
      </c>
      <c r="D18" s="54">
        <v>666</v>
      </c>
      <c r="E18" s="54">
        <v>661</v>
      </c>
      <c r="F18" s="54">
        <f t="shared" si="3"/>
        <v>1327</v>
      </c>
      <c r="G18" s="27">
        <v>129</v>
      </c>
      <c r="H18" s="27">
        <v>41</v>
      </c>
      <c r="I18" s="54">
        <f t="shared" si="0"/>
        <v>170</v>
      </c>
      <c r="J18" s="62">
        <v>0</v>
      </c>
      <c r="K18" s="62">
        <v>0</v>
      </c>
      <c r="L18" s="54">
        <v>0</v>
      </c>
      <c r="M18" s="54">
        <v>0</v>
      </c>
      <c r="N18" s="54">
        <v>0</v>
      </c>
      <c r="O18" s="54">
        <v>0</v>
      </c>
      <c r="P18" s="54">
        <f t="shared" ref="P18:P23" si="7">SUM(N18:O18)</f>
        <v>0</v>
      </c>
    </row>
    <row r="19" spans="1:16" s="53" customFormat="1" ht="16.5" customHeight="1" x14ac:dyDescent="0.25">
      <c r="A19" s="171"/>
      <c r="B19" s="172"/>
      <c r="C19" s="55" t="s">
        <v>0</v>
      </c>
      <c r="D19" s="59">
        <f>SUM(D17:D18)</f>
        <v>2198</v>
      </c>
      <c r="E19" s="59">
        <f t="shared" ref="E19:O19" si="8">SUM(E17:E18)</f>
        <v>2067</v>
      </c>
      <c r="F19" s="59">
        <f t="shared" si="3"/>
        <v>4265</v>
      </c>
      <c r="G19" s="59">
        <f t="shared" si="8"/>
        <v>174</v>
      </c>
      <c r="H19" s="59">
        <f t="shared" si="8"/>
        <v>66</v>
      </c>
      <c r="I19" s="54">
        <f t="shared" si="0"/>
        <v>240</v>
      </c>
      <c r="J19" s="59">
        <f t="shared" si="8"/>
        <v>0</v>
      </c>
      <c r="K19" s="59">
        <f t="shared" si="8"/>
        <v>0</v>
      </c>
      <c r="L19" s="59">
        <f t="shared" si="8"/>
        <v>0</v>
      </c>
      <c r="M19" s="59">
        <f t="shared" si="8"/>
        <v>0</v>
      </c>
      <c r="N19" s="59">
        <f t="shared" si="8"/>
        <v>0</v>
      </c>
      <c r="O19" s="59">
        <f t="shared" si="8"/>
        <v>0</v>
      </c>
      <c r="P19" s="54">
        <f t="shared" si="7"/>
        <v>0</v>
      </c>
    </row>
    <row r="20" spans="1:16" ht="16.5" customHeight="1" x14ac:dyDescent="0.25">
      <c r="A20" s="171">
        <v>6</v>
      </c>
      <c r="B20" s="172" t="s">
        <v>9</v>
      </c>
      <c r="C20" s="54" t="s">
        <v>2</v>
      </c>
      <c r="D20" s="63">
        <v>4076</v>
      </c>
      <c r="E20" s="63">
        <v>3693</v>
      </c>
      <c r="F20" s="54">
        <f t="shared" si="3"/>
        <v>7769</v>
      </c>
      <c r="G20" s="63">
        <v>68</v>
      </c>
      <c r="H20" s="63">
        <v>33</v>
      </c>
      <c r="I20" s="54">
        <f t="shared" si="0"/>
        <v>101</v>
      </c>
      <c r="J20" s="56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f t="shared" si="7"/>
        <v>0</v>
      </c>
    </row>
    <row r="21" spans="1:16" ht="16.5" customHeight="1" x14ac:dyDescent="0.25">
      <c r="A21" s="171"/>
      <c r="B21" s="172"/>
      <c r="C21" s="54" t="s">
        <v>1</v>
      </c>
      <c r="D21" s="63">
        <v>747</v>
      </c>
      <c r="E21" s="63">
        <v>734</v>
      </c>
      <c r="F21" s="54">
        <f t="shared" si="3"/>
        <v>1481</v>
      </c>
      <c r="G21" s="63">
        <v>102</v>
      </c>
      <c r="H21" s="63">
        <v>22</v>
      </c>
      <c r="I21" s="54">
        <f t="shared" si="0"/>
        <v>124</v>
      </c>
      <c r="J21" s="56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f t="shared" si="7"/>
        <v>0</v>
      </c>
    </row>
    <row r="22" spans="1:16" s="53" customFormat="1" ht="16.5" customHeight="1" x14ac:dyDescent="0.25">
      <c r="A22" s="171"/>
      <c r="B22" s="172"/>
      <c r="C22" s="55" t="s">
        <v>0</v>
      </c>
      <c r="D22" s="47">
        <f>SUM(D20:D21)</f>
        <v>4823</v>
      </c>
      <c r="E22" s="47">
        <f t="shared" ref="E22:P22" si="9">SUM(E20:E21)</f>
        <v>4427</v>
      </c>
      <c r="F22" s="59">
        <f t="shared" si="3"/>
        <v>9250</v>
      </c>
      <c r="G22" s="47">
        <f t="shared" si="9"/>
        <v>170</v>
      </c>
      <c r="H22" s="47">
        <f t="shared" si="9"/>
        <v>55</v>
      </c>
      <c r="I22" s="54">
        <f t="shared" si="0"/>
        <v>225</v>
      </c>
      <c r="J22" s="47">
        <f t="shared" si="9"/>
        <v>0</v>
      </c>
      <c r="K22" s="47">
        <f t="shared" si="9"/>
        <v>0</v>
      </c>
      <c r="L22" s="47">
        <f t="shared" si="9"/>
        <v>0</v>
      </c>
      <c r="M22" s="47">
        <f t="shared" si="9"/>
        <v>0</v>
      </c>
      <c r="N22" s="47">
        <f t="shared" si="9"/>
        <v>0</v>
      </c>
      <c r="O22" s="47">
        <f t="shared" si="9"/>
        <v>0</v>
      </c>
      <c r="P22" s="47">
        <f t="shared" si="9"/>
        <v>0</v>
      </c>
    </row>
    <row r="23" spans="1:16" ht="16.5" customHeight="1" x14ac:dyDescent="0.25">
      <c r="A23" s="171">
        <v>7</v>
      </c>
      <c r="B23" s="172" t="s">
        <v>8</v>
      </c>
      <c r="C23" s="54" t="s">
        <v>2</v>
      </c>
      <c r="D23" s="63">
        <v>5243</v>
      </c>
      <c r="E23" s="63">
        <v>5246</v>
      </c>
      <c r="F23" s="54">
        <f t="shared" si="3"/>
        <v>10489</v>
      </c>
      <c r="G23" s="63">
        <v>27</v>
      </c>
      <c r="H23" s="63">
        <v>15</v>
      </c>
      <c r="I23" s="54">
        <f t="shared" si="0"/>
        <v>42</v>
      </c>
      <c r="J23" s="56">
        <v>0</v>
      </c>
      <c r="K23" s="54">
        <v>0</v>
      </c>
      <c r="L23" s="54">
        <v>0</v>
      </c>
      <c r="M23" s="63">
        <v>0</v>
      </c>
      <c r="N23" s="63">
        <v>0</v>
      </c>
      <c r="O23" s="63">
        <v>0</v>
      </c>
      <c r="P23" s="54">
        <f t="shared" si="7"/>
        <v>0</v>
      </c>
    </row>
    <row r="24" spans="1:16" ht="16.5" customHeight="1" x14ac:dyDescent="0.25">
      <c r="A24" s="171"/>
      <c r="B24" s="172"/>
      <c r="C24" s="54" t="s">
        <v>1</v>
      </c>
      <c r="D24" s="63">
        <v>1241</v>
      </c>
      <c r="E24" s="63">
        <v>1135</v>
      </c>
      <c r="F24" s="54">
        <f t="shared" si="3"/>
        <v>2376</v>
      </c>
      <c r="G24" s="63">
        <v>129</v>
      </c>
      <c r="H24" s="63">
        <v>27</v>
      </c>
      <c r="I24" s="54">
        <f t="shared" si="0"/>
        <v>156</v>
      </c>
      <c r="J24" s="56">
        <v>0</v>
      </c>
      <c r="K24" s="54">
        <v>0</v>
      </c>
      <c r="L24" s="54">
        <v>0</v>
      </c>
      <c r="M24" s="63">
        <v>0</v>
      </c>
      <c r="N24" s="63">
        <v>0</v>
      </c>
      <c r="O24" s="63">
        <v>0</v>
      </c>
      <c r="P24" s="63">
        <f t="shared" ref="P24" si="10">SUM(N24:O24)</f>
        <v>0</v>
      </c>
    </row>
    <row r="25" spans="1:16" s="53" customFormat="1" ht="16.5" customHeight="1" x14ac:dyDescent="0.25">
      <c r="A25" s="171"/>
      <c r="B25" s="172"/>
      <c r="C25" s="55" t="s">
        <v>0</v>
      </c>
      <c r="D25" s="47">
        <f>SUM(D23:D24)</f>
        <v>6484</v>
      </c>
      <c r="E25" s="47">
        <f t="shared" ref="E25:P25" si="11">SUM(E23:E24)</f>
        <v>6381</v>
      </c>
      <c r="F25" s="59">
        <f t="shared" si="3"/>
        <v>12865</v>
      </c>
      <c r="G25" s="47">
        <f t="shared" si="11"/>
        <v>156</v>
      </c>
      <c r="H25" s="47">
        <f t="shared" si="11"/>
        <v>42</v>
      </c>
      <c r="I25" s="54">
        <f t="shared" si="0"/>
        <v>198</v>
      </c>
      <c r="J25" s="47">
        <f t="shared" si="11"/>
        <v>0</v>
      </c>
      <c r="K25" s="47">
        <f t="shared" si="11"/>
        <v>0</v>
      </c>
      <c r="L25" s="47">
        <f t="shared" si="11"/>
        <v>0</v>
      </c>
      <c r="M25" s="47">
        <f t="shared" si="11"/>
        <v>0</v>
      </c>
      <c r="N25" s="47">
        <f t="shared" si="11"/>
        <v>0</v>
      </c>
      <c r="O25" s="47">
        <f t="shared" si="11"/>
        <v>0</v>
      </c>
      <c r="P25" s="47">
        <f t="shared" si="11"/>
        <v>0</v>
      </c>
    </row>
    <row r="26" spans="1:16" ht="16.5" customHeight="1" x14ac:dyDescent="0.25">
      <c r="A26" s="171">
        <v>8</v>
      </c>
      <c r="B26" s="172" t="s">
        <v>7</v>
      </c>
      <c r="C26" s="54" t="s">
        <v>2</v>
      </c>
      <c r="D26" s="63">
        <v>1316</v>
      </c>
      <c r="E26" s="63">
        <v>1401</v>
      </c>
      <c r="F26" s="54">
        <f t="shared" si="3"/>
        <v>2717</v>
      </c>
      <c r="G26" s="63">
        <v>10</v>
      </c>
      <c r="H26" s="63">
        <v>3</v>
      </c>
      <c r="I26" s="54">
        <f t="shared" si="0"/>
        <v>13</v>
      </c>
      <c r="J26" s="62">
        <v>0</v>
      </c>
      <c r="K26" s="63">
        <v>0</v>
      </c>
      <c r="L26" s="47">
        <f t="shared" ref="L26:L27" si="12">SUM(J26:K26)</f>
        <v>0</v>
      </c>
      <c r="M26" s="63">
        <v>0</v>
      </c>
      <c r="N26" s="63">
        <v>0</v>
      </c>
      <c r="O26" s="63">
        <v>0</v>
      </c>
      <c r="P26" s="63">
        <f t="shared" ref="P26:P27" si="13">SUM(N26:O26)</f>
        <v>0</v>
      </c>
    </row>
    <row r="27" spans="1:16" ht="16.5" customHeight="1" x14ac:dyDescent="0.25">
      <c r="A27" s="171"/>
      <c r="B27" s="172"/>
      <c r="C27" s="54" t="s">
        <v>1</v>
      </c>
      <c r="D27" s="63">
        <f>8743+638</f>
        <v>9381</v>
      </c>
      <c r="E27" s="63">
        <f>9113+577</f>
        <v>9690</v>
      </c>
      <c r="F27" s="54">
        <f t="shared" si="3"/>
        <v>19071</v>
      </c>
      <c r="G27" s="63">
        <f>1238+17</f>
        <v>1255</v>
      </c>
      <c r="H27" s="63">
        <f>504+4</f>
        <v>508</v>
      </c>
      <c r="I27" s="54">
        <f t="shared" si="0"/>
        <v>1763</v>
      </c>
      <c r="J27" s="62">
        <v>0</v>
      </c>
      <c r="K27" s="63">
        <v>0</v>
      </c>
      <c r="L27" s="47">
        <f t="shared" si="12"/>
        <v>0</v>
      </c>
      <c r="M27" s="63">
        <v>0</v>
      </c>
      <c r="N27" s="63">
        <v>0</v>
      </c>
      <c r="O27" s="63">
        <v>0</v>
      </c>
      <c r="P27" s="63">
        <f t="shared" si="13"/>
        <v>0</v>
      </c>
    </row>
    <row r="28" spans="1:16" s="53" customFormat="1" ht="16.5" customHeight="1" x14ac:dyDescent="0.25">
      <c r="A28" s="171"/>
      <c r="B28" s="172"/>
      <c r="C28" s="55" t="s">
        <v>0</v>
      </c>
      <c r="D28" s="47">
        <f>SUM(D26:D27)</f>
        <v>10697</v>
      </c>
      <c r="E28" s="47">
        <f t="shared" ref="E28:P28" si="14">SUM(E26:E27)</f>
        <v>11091</v>
      </c>
      <c r="F28" s="59">
        <f>SUM(D28:E28)</f>
        <v>21788</v>
      </c>
      <c r="G28" s="47">
        <f t="shared" si="14"/>
        <v>1265</v>
      </c>
      <c r="H28" s="47">
        <f t="shared" si="14"/>
        <v>511</v>
      </c>
      <c r="I28" s="54">
        <f t="shared" si="0"/>
        <v>1776</v>
      </c>
      <c r="J28" s="47">
        <f t="shared" si="14"/>
        <v>0</v>
      </c>
      <c r="K28" s="47">
        <f t="shared" si="14"/>
        <v>0</v>
      </c>
      <c r="L28" s="47">
        <f t="shared" si="14"/>
        <v>0</v>
      </c>
      <c r="M28" s="47">
        <f t="shared" si="14"/>
        <v>0</v>
      </c>
      <c r="N28" s="47">
        <f t="shared" si="14"/>
        <v>0</v>
      </c>
      <c r="O28" s="47">
        <f t="shared" si="14"/>
        <v>0</v>
      </c>
      <c r="P28" s="47">
        <f t="shared" si="14"/>
        <v>0</v>
      </c>
    </row>
    <row r="29" spans="1:16" ht="16.5" customHeight="1" x14ac:dyDescent="0.25">
      <c r="A29" s="171">
        <v>9</v>
      </c>
      <c r="B29" s="172" t="s">
        <v>6</v>
      </c>
      <c r="C29" s="54" t="s">
        <v>2</v>
      </c>
      <c r="D29" s="63">
        <v>841</v>
      </c>
      <c r="E29" s="63">
        <v>778</v>
      </c>
      <c r="F29" s="54">
        <f t="shared" si="3"/>
        <v>1619</v>
      </c>
      <c r="G29" s="63">
        <v>11</v>
      </c>
      <c r="H29" s="63">
        <v>6</v>
      </c>
      <c r="I29" s="54">
        <f t="shared" si="0"/>
        <v>17</v>
      </c>
      <c r="J29" s="62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</row>
    <row r="30" spans="1:16" ht="16.5" customHeight="1" x14ac:dyDescent="0.25">
      <c r="A30" s="171"/>
      <c r="B30" s="172"/>
      <c r="C30" s="54" t="s">
        <v>1</v>
      </c>
      <c r="D30" s="63">
        <v>274</v>
      </c>
      <c r="E30" s="63">
        <v>297</v>
      </c>
      <c r="F30" s="54">
        <f t="shared" si="3"/>
        <v>571</v>
      </c>
      <c r="G30" s="63">
        <v>6</v>
      </c>
      <c r="H30" s="63">
        <v>5</v>
      </c>
      <c r="I30" s="54">
        <f t="shared" si="0"/>
        <v>11</v>
      </c>
      <c r="J30" s="62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</row>
    <row r="31" spans="1:16" s="53" customFormat="1" ht="16.5" customHeight="1" x14ac:dyDescent="0.25">
      <c r="A31" s="171"/>
      <c r="B31" s="172"/>
      <c r="C31" s="55" t="s">
        <v>0</v>
      </c>
      <c r="D31" s="47">
        <f>SUM(D29:D30)</f>
        <v>1115</v>
      </c>
      <c r="E31" s="47">
        <f t="shared" ref="E31:P31" si="15">SUM(E29:E30)</f>
        <v>1075</v>
      </c>
      <c r="F31" s="59">
        <f t="shared" si="3"/>
        <v>2190</v>
      </c>
      <c r="G31" s="47">
        <f t="shared" si="15"/>
        <v>17</v>
      </c>
      <c r="H31" s="47">
        <f t="shared" si="15"/>
        <v>11</v>
      </c>
      <c r="I31" s="54">
        <f t="shared" si="0"/>
        <v>28</v>
      </c>
      <c r="J31" s="47">
        <f t="shared" si="15"/>
        <v>0</v>
      </c>
      <c r="K31" s="47">
        <f t="shared" si="15"/>
        <v>0</v>
      </c>
      <c r="L31" s="47">
        <f t="shared" si="15"/>
        <v>0</v>
      </c>
      <c r="M31" s="47">
        <f t="shared" si="15"/>
        <v>0</v>
      </c>
      <c r="N31" s="47">
        <f t="shared" si="15"/>
        <v>0</v>
      </c>
      <c r="O31" s="47">
        <f t="shared" si="15"/>
        <v>0</v>
      </c>
      <c r="P31" s="47">
        <f t="shared" si="15"/>
        <v>0</v>
      </c>
    </row>
    <row r="32" spans="1:16" ht="16.5" customHeight="1" x14ac:dyDescent="0.25">
      <c r="A32" s="171">
        <v>10</v>
      </c>
      <c r="B32" s="172" t="s">
        <v>5</v>
      </c>
      <c r="C32" s="54" t="s">
        <v>2</v>
      </c>
      <c r="D32" s="54">
        <v>216</v>
      </c>
      <c r="E32" s="54">
        <v>182</v>
      </c>
      <c r="F32" s="54">
        <f t="shared" si="3"/>
        <v>398</v>
      </c>
      <c r="G32" s="63">
        <v>30</v>
      </c>
      <c r="H32" s="63">
        <v>14</v>
      </c>
      <c r="I32" s="54">
        <f t="shared" si="0"/>
        <v>44</v>
      </c>
      <c r="J32" s="56">
        <v>0</v>
      </c>
      <c r="K32" s="54">
        <v>0</v>
      </c>
      <c r="L32" s="54">
        <f>SUM(J32:K32)</f>
        <v>0</v>
      </c>
      <c r="M32" s="54">
        <v>0</v>
      </c>
      <c r="N32" s="54">
        <v>0</v>
      </c>
      <c r="O32" s="54">
        <v>0</v>
      </c>
      <c r="P32" s="54">
        <f>SUM(N32:O32)</f>
        <v>0</v>
      </c>
    </row>
    <row r="33" spans="1:16" ht="16.5" customHeight="1" x14ac:dyDescent="0.25">
      <c r="A33" s="171"/>
      <c r="B33" s="172"/>
      <c r="C33" s="54" t="s">
        <v>1</v>
      </c>
      <c r="D33" s="54">
        <v>108</v>
      </c>
      <c r="E33" s="54">
        <v>96</v>
      </c>
      <c r="F33" s="54">
        <f t="shared" si="3"/>
        <v>204</v>
      </c>
      <c r="G33" s="27">
        <v>16</v>
      </c>
      <c r="H33" s="27">
        <v>55</v>
      </c>
      <c r="I33" s="54">
        <f t="shared" si="0"/>
        <v>71</v>
      </c>
      <c r="J33" s="56">
        <v>0</v>
      </c>
      <c r="K33" s="54">
        <v>0</v>
      </c>
      <c r="L33" s="54">
        <f>SUM(J33:K33)</f>
        <v>0</v>
      </c>
      <c r="M33" s="54">
        <v>0</v>
      </c>
      <c r="N33" s="54">
        <v>0</v>
      </c>
      <c r="O33" s="54">
        <v>0</v>
      </c>
      <c r="P33" s="54">
        <f t="shared" ref="P33:P36" si="16">SUM(N33:O33)</f>
        <v>0</v>
      </c>
    </row>
    <row r="34" spans="1:16" s="53" customFormat="1" ht="16.5" customHeight="1" x14ac:dyDescent="0.25">
      <c r="A34" s="171"/>
      <c r="B34" s="172"/>
      <c r="C34" s="55" t="s">
        <v>0</v>
      </c>
      <c r="D34" s="59">
        <f>SUM(D32:D33)</f>
        <v>324</v>
      </c>
      <c r="E34" s="59">
        <f t="shared" ref="E34:P34" si="17">SUM(E32:E33)</f>
        <v>278</v>
      </c>
      <c r="F34" s="59">
        <f t="shared" si="3"/>
        <v>602</v>
      </c>
      <c r="G34" s="59">
        <f t="shared" si="17"/>
        <v>46</v>
      </c>
      <c r="H34" s="59">
        <f t="shared" si="17"/>
        <v>69</v>
      </c>
      <c r="I34" s="54">
        <f t="shared" si="0"/>
        <v>115</v>
      </c>
      <c r="J34" s="59">
        <f t="shared" si="17"/>
        <v>0</v>
      </c>
      <c r="K34" s="59">
        <f t="shared" si="17"/>
        <v>0</v>
      </c>
      <c r="L34" s="59">
        <f t="shared" si="17"/>
        <v>0</v>
      </c>
      <c r="M34" s="59">
        <f t="shared" si="17"/>
        <v>0</v>
      </c>
      <c r="N34" s="59">
        <f t="shared" si="17"/>
        <v>0</v>
      </c>
      <c r="O34" s="59">
        <f t="shared" si="17"/>
        <v>0</v>
      </c>
      <c r="P34" s="59">
        <f t="shared" si="17"/>
        <v>0</v>
      </c>
    </row>
    <row r="35" spans="1:16" ht="16.5" customHeight="1" x14ac:dyDescent="0.25">
      <c r="A35" s="171">
        <v>11</v>
      </c>
      <c r="B35" s="172" t="s">
        <v>4</v>
      </c>
      <c r="C35" s="54" t="s">
        <v>2</v>
      </c>
      <c r="D35" s="63">
        <v>232</v>
      </c>
      <c r="E35" s="63">
        <v>226</v>
      </c>
      <c r="F35" s="54">
        <f t="shared" si="3"/>
        <v>458</v>
      </c>
      <c r="G35" s="63">
        <v>0</v>
      </c>
      <c r="H35" s="63">
        <v>0</v>
      </c>
      <c r="I35" s="54">
        <f t="shared" si="0"/>
        <v>0</v>
      </c>
      <c r="J35" s="56">
        <v>0</v>
      </c>
      <c r="K35" s="54">
        <v>0</v>
      </c>
      <c r="L35" s="59">
        <f t="shared" ref="L35:L36" si="18">SUM(J35:K35)</f>
        <v>0</v>
      </c>
      <c r="M35" s="54">
        <v>0</v>
      </c>
      <c r="N35" s="54">
        <v>0</v>
      </c>
      <c r="O35" s="54">
        <v>0</v>
      </c>
      <c r="P35" s="54">
        <f t="shared" si="16"/>
        <v>0</v>
      </c>
    </row>
    <row r="36" spans="1:16" ht="16.5" customHeight="1" x14ac:dyDescent="0.25">
      <c r="A36" s="171"/>
      <c r="B36" s="172"/>
      <c r="C36" s="54" t="s">
        <v>1</v>
      </c>
      <c r="D36" s="63">
        <v>207</v>
      </c>
      <c r="E36" s="63">
        <v>174</v>
      </c>
      <c r="F36" s="54">
        <f>SUM(D36:E36)</f>
        <v>381</v>
      </c>
      <c r="G36" s="63">
        <v>28</v>
      </c>
      <c r="H36" s="63">
        <v>6</v>
      </c>
      <c r="I36" s="54">
        <f t="shared" si="0"/>
        <v>34</v>
      </c>
      <c r="J36" s="56">
        <v>0</v>
      </c>
      <c r="K36" s="54">
        <v>0</v>
      </c>
      <c r="L36" s="59">
        <f t="shared" si="18"/>
        <v>0</v>
      </c>
      <c r="M36" s="54">
        <v>0</v>
      </c>
      <c r="N36" s="54">
        <v>0</v>
      </c>
      <c r="O36" s="54">
        <v>0</v>
      </c>
      <c r="P36" s="54">
        <f t="shared" si="16"/>
        <v>0</v>
      </c>
    </row>
    <row r="37" spans="1:16" s="53" customFormat="1" ht="16.5" customHeight="1" x14ac:dyDescent="0.25">
      <c r="A37" s="171"/>
      <c r="B37" s="172"/>
      <c r="C37" s="55" t="s">
        <v>0</v>
      </c>
      <c r="D37" s="47">
        <f>SUM(D35:D36)</f>
        <v>439</v>
      </c>
      <c r="E37" s="47">
        <f t="shared" ref="E37:P37" si="19">SUM(E35:E36)</f>
        <v>400</v>
      </c>
      <c r="F37" s="59">
        <f t="shared" si="3"/>
        <v>839</v>
      </c>
      <c r="G37" s="47">
        <f t="shared" si="19"/>
        <v>28</v>
      </c>
      <c r="H37" s="47">
        <f t="shared" si="19"/>
        <v>6</v>
      </c>
      <c r="I37" s="54">
        <f t="shared" si="0"/>
        <v>34</v>
      </c>
      <c r="J37" s="47">
        <f t="shared" si="19"/>
        <v>0</v>
      </c>
      <c r="K37" s="47">
        <f t="shared" si="19"/>
        <v>0</v>
      </c>
      <c r="L37" s="47">
        <f t="shared" si="19"/>
        <v>0</v>
      </c>
      <c r="M37" s="47">
        <f t="shared" si="19"/>
        <v>0</v>
      </c>
      <c r="N37" s="47">
        <f t="shared" si="19"/>
        <v>0</v>
      </c>
      <c r="O37" s="47">
        <f t="shared" si="19"/>
        <v>0</v>
      </c>
      <c r="P37" s="47">
        <f t="shared" si="19"/>
        <v>0</v>
      </c>
    </row>
    <row r="38" spans="1:16" ht="16.5" customHeight="1" x14ac:dyDescent="0.25">
      <c r="A38" s="173" t="s">
        <v>3</v>
      </c>
      <c r="B38" s="174"/>
      <c r="C38" s="54" t="s">
        <v>2</v>
      </c>
      <c r="D38" s="54">
        <f t="shared" ref="D38:P38" si="20">D5+D8+D11+D14+D17+D20+D23+D26+D29+D32+D35</f>
        <v>18396</v>
      </c>
      <c r="E38" s="54">
        <f t="shared" si="20"/>
        <v>18071</v>
      </c>
      <c r="F38" s="54">
        <f t="shared" si="20"/>
        <v>36467</v>
      </c>
      <c r="G38" s="54">
        <f t="shared" si="20"/>
        <v>597</v>
      </c>
      <c r="H38" s="54">
        <f t="shared" si="20"/>
        <v>301</v>
      </c>
      <c r="I38" s="54">
        <f t="shared" si="20"/>
        <v>898</v>
      </c>
      <c r="J38" s="54">
        <f t="shared" si="20"/>
        <v>3</v>
      </c>
      <c r="K38" s="54">
        <f t="shared" si="20"/>
        <v>1</v>
      </c>
      <c r="L38" s="54">
        <f t="shared" si="20"/>
        <v>4</v>
      </c>
      <c r="M38" s="54">
        <f t="shared" si="20"/>
        <v>0</v>
      </c>
      <c r="N38" s="54">
        <f t="shared" si="20"/>
        <v>0</v>
      </c>
      <c r="O38" s="54">
        <f t="shared" si="20"/>
        <v>0</v>
      </c>
      <c r="P38" s="54">
        <f t="shared" si="20"/>
        <v>0</v>
      </c>
    </row>
    <row r="39" spans="1:16" ht="16.5" customHeight="1" x14ac:dyDescent="0.25">
      <c r="A39" s="173"/>
      <c r="B39" s="174"/>
      <c r="C39" s="54" t="s">
        <v>1</v>
      </c>
      <c r="D39" s="54">
        <f t="shared" ref="D39:P39" si="21">D6+D9+D12+D15+D18+D21+D24+D27+D30+D33+D36</f>
        <v>14485</v>
      </c>
      <c r="E39" s="54">
        <f t="shared" si="21"/>
        <v>14617</v>
      </c>
      <c r="F39" s="54">
        <f t="shared" si="21"/>
        <v>29102</v>
      </c>
      <c r="G39" s="54">
        <f t="shared" si="21"/>
        <v>2130</v>
      </c>
      <c r="H39" s="54">
        <f t="shared" si="21"/>
        <v>906</v>
      </c>
      <c r="I39" s="54">
        <f t="shared" si="21"/>
        <v>3036</v>
      </c>
      <c r="J39" s="54">
        <f t="shared" si="21"/>
        <v>0</v>
      </c>
      <c r="K39" s="54">
        <f t="shared" si="21"/>
        <v>2</v>
      </c>
      <c r="L39" s="54">
        <f t="shared" si="21"/>
        <v>2</v>
      </c>
      <c r="M39" s="54">
        <f t="shared" si="21"/>
        <v>0</v>
      </c>
      <c r="N39" s="54">
        <f t="shared" si="21"/>
        <v>0</v>
      </c>
      <c r="O39" s="54">
        <f t="shared" si="21"/>
        <v>0</v>
      </c>
      <c r="P39" s="54">
        <f t="shared" si="21"/>
        <v>0</v>
      </c>
    </row>
    <row r="40" spans="1:16" s="53" customFormat="1" ht="16.5" customHeight="1" x14ac:dyDescent="0.25">
      <c r="A40" s="173"/>
      <c r="B40" s="174"/>
      <c r="C40" s="55" t="s">
        <v>0</v>
      </c>
      <c r="D40" s="59">
        <f>SUM(D38:D39)</f>
        <v>32881</v>
      </c>
      <c r="E40" s="59">
        <f>SUM(E38:E39)</f>
        <v>32688</v>
      </c>
      <c r="F40" s="59">
        <f t="shared" ref="F40:P40" si="22">SUM(F38:F39)</f>
        <v>65569</v>
      </c>
      <c r="G40" s="59">
        <f t="shared" si="22"/>
        <v>2727</v>
      </c>
      <c r="H40" s="59">
        <f t="shared" si="22"/>
        <v>1207</v>
      </c>
      <c r="I40" s="59">
        <f>SUM(I38:I39)</f>
        <v>3934</v>
      </c>
      <c r="J40" s="59">
        <f t="shared" si="22"/>
        <v>3</v>
      </c>
      <c r="K40" s="59">
        <f t="shared" si="22"/>
        <v>3</v>
      </c>
      <c r="L40" s="59">
        <f t="shared" si="22"/>
        <v>6</v>
      </c>
      <c r="M40" s="59">
        <f t="shared" si="22"/>
        <v>0</v>
      </c>
      <c r="N40" s="59">
        <f t="shared" si="22"/>
        <v>0</v>
      </c>
      <c r="O40" s="59">
        <f t="shared" si="22"/>
        <v>0</v>
      </c>
      <c r="P40" s="59">
        <f t="shared" si="22"/>
        <v>0</v>
      </c>
    </row>
    <row r="42" spans="1:16" x14ac:dyDescent="0.25">
      <c r="A42" s="168" t="s">
        <v>214</v>
      </c>
      <c r="B42" s="168"/>
      <c r="C42" s="168"/>
      <c r="D42" s="168"/>
      <c r="E42" s="168"/>
      <c r="F42" s="168"/>
      <c r="G42" s="168"/>
    </row>
  </sheetData>
  <mergeCells count="32">
    <mergeCell ref="A32:A34"/>
    <mergeCell ref="B32:B34"/>
    <mergeCell ref="A35:A37"/>
    <mergeCell ref="B35:B37"/>
    <mergeCell ref="A38:B40"/>
    <mergeCell ref="A23:A25"/>
    <mergeCell ref="B23:B25"/>
    <mergeCell ref="A26:A28"/>
    <mergeCell ref="B26:B28"/>
    <mergeCell ref="A29:A31"/>
    <mergeCell ref="A14:A16"/>
    <mergeCell ref="B14:B16"/>
    <mergeCell ref="A17:A19"/>
    <mergeCell ref="B17:B19"/>
    <mergeCell ref="A20:A22"/>
    <mergeCell ref="B20:B22"/>
    <mergeCell ref="A42:G42"/>
    <mergeCell ref="A1:P1"/>
    <mergeCell ref="A2:P2"/>
    <mergeCell ref="A3:A4"/>
    <mergeCell ref="B3:B4"/>
    <mergeCell ref="D3:F3"/>
    <mergeCell ref="G3:I3"/>
    <mergeCell ref="J3:L3"/>
    <mergeCell ref="N3:P3"/>
    <mergeCell ref="A5:A7"/>
    <mergeCell ref="B5:B7"/>
    <mergeCell ref="A8:A10"/>
    <mergeCell ref="B8:B10"/>
    <mergeCell ref="A11:A13"/>
    <mergeCell ref="B11:B13"/>
    <mergeCell ref="B29:B31"/>
  </mergeCells>
  <pageMargins left="0.51181102362204722" right="0.23622047244094491" top="0.47244094488188981" bottom="0.39370078740157483" header="0.31496062992125984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18"/>
  <sheetViews>
    <sheetView zoomScale="70" zoomScaleNormal="70" workbookViewId="0">
      <selection activeCell="K29" sqref="K29:K30"/>
    </sheetView>
  </sheetViews>
  <sheetFormatPr defaultColWidth="9.140625" defaultRowHeight="15.75" x14ac:dyDescent="0.25"/>
  <cols>
    <col min="1" max="1" width="5.28515625" style="3" customWidth="1"/>
    <col min="2" max="2" width="13.42578125" style="3" customWidth="1"/>
    <col min="3" max="5" width="9.140625" style="7"/>
    <col min="6" max="8" width="9.140625" style="5"/>
    <col min="9" max="11" width="9.140625" style="7"/>
    <col min="12" max="12" width="12.5703125" style="7" customWidth="1"/>
    <col min="13" max="15" width="9.140625" style="7"/>
    <col min="16" max="16384" width="9.140625" style="3"/>
  </cols>
  <sheetData>
    <row r="1" spans="1:16" s="6" customFormat="1" x14ac:dyDescent="0.25">
      <c r="A1" s="168" t="s">
        <v>32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</row>
    <row r="2" spans="1:16" s="6" customFormat="1" ht="38.450000000000003" customHeight="1" x14ac:dyDescent="0.25">
      <c r="A2" s="175" t="s">
        <v>229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42"/>
    </row>
    <row r="3" spans="1:16" s="86" customFormat="1" ht="31.5" customHeight="1" x14ac:dyDescent="0.25">
      <c r="A3" s="176" t="s">
        <v>31</v>
      </c>
      <c r="B3" s="178" t="s">
        <v>30</v>
      </c>
      <c r="C3" s="178" t="s">
        <v>22</v>
      </c>
      <c r="D3" s="178"/>
      <c r="E3" s="178"/>
      <c r="F3" s="178" t="s">
        <v>21</v>
      </c>
      <c r="G3" s="178"/>
      <c r="H3" s="178"/>
      <c r="I3" s="178" t="s">
        <v>20</v>
      </c>
      <c r="J3" s="178"/>
      <c r="K3" s="178"/>
      <c r="L3" s="179" t="s">
        <v>29</v>
      </c>
      <c r="M3" s="162" t="s">
        <v>18</v>
      </c>
      <c r="N3" s="162"/>
      <c r="O3" s="162"/>
    </row>
    <row r="4" spans="1:16" s="86" customFormat="1" x14ac:dyDescent="0.25">
      <c r="A4" s="177"/>
      <c r="B4" s="178"/>
      <c r="C4" s="84" t="s">
        <v>28</v>
      </c>
      <c r="D4" s="84" t="s">
        <v>27</v>
      </c>
      <c r="E4" s="84" t="s">
        <v>0</v>
      </c>
      <c r="F4" s="84" t="s">
        <v>28</v>
      </c>
      <c r="G4" s="84" t="s">
        <v>27</v>
      </c>
      <c r="H4" s="84" t="s">
        <v>0</v>
      </c>
      <c r="I4" s="84" t="s">
        <v>28</v>
      </c>
      <c r="J4" s="84" t="s">
        <v>27</v>
      </c>
      <c r="K4" s="84" t="s">
        <v>0</v>
      </c>
      <c r="L4" s="180"/>
      <c r="M4" s="84" t="s">
        <v>28</v>
      </c>
      <c r="N4" s="84" t="s">
        <v>27</v>
      </c>
      <c r="O4" s="84" t="s">
        <v>0</v>
      </c>
    </row>
    <row r="5" spans="1:16" s="4" customFormat="1" ht="25.9" customHeight="1" x14ac:dyDescent="0.25">
      <c r="A5" s="64">
        <v>1</v>
      </c>
      <c r="B5" s="79" t="s">
        <v>14</v>
      </c>
      <c r="C5" s="80">
        <v>2491</v>
      </c>
      <c r="D5" s="80">
        <v>2600</v>
      </c>
      <c r="E5" s="64">
        <v>5091</v>
      </c>
      <c r="F5" s="64">
        <v>384</v>
      </c>
      <c r="G5" s="64">
        <v>212</v>
      </c>
      <c r="H5" s="64">
        <f>F5+G5</f>
        <v>596</v>
      </c>
      <c r="I5" s="64">
        <v>0</v>
      </c>
      <c r="J5" s="64">
        <v>0</v>
      </c>
      <c r="K5" s="64">
        <f t="shared" ref="K5:K15" si="0">I5+J5</f>
        <v>0</v>
      </c>
      <c r="L5" s="64">
        <v>0</v>
      </c>
      <c r="M5" s="64">
        <v>0</v>
      </c>
      <c r="N5" s="64">
        <v>0</v>
      </c>
      <c r="O5" s="64">
        <v>0</v>
      </c>
    </row>
    <row r="6" spans="1:16" s="4" customFormat="1" ht="25.9" customHeight="1" x14ac:dyDescent="0.25">
      <c r="A6" s="64">
        <v>2</v>
      </c>
      <c r="B6" s="79" t="s">
        <v>13</v>
      </c>
      <c r="C6" s="80">
        <v>2009</v>
      </c>
      <c r="D6" s="80">
        <v>2045</v>
      </c>
      <c r="E6" s="64">
        <v>4054</v>
      </c>
      <c r="F6" s="64">
        <v>132</v>
      </c>
      <c r="G6" s="64">
        <v>64</v>
      </c>
      <c r="H6" s="64">
        <f t="shared" ref="H6:H15" si="1">F6+G6</f>
        <v>196</v>
      </c>
      <c r="I6" s="64">
        <v>3</v>
      </c>
      <c r="J6" s="64">
        <v>3</v>
      </c>
      <c r="K6" s="64">
        <f t="shared" si="0"/>
        <v>6</v>
      </c>
      <c r="L6" s="64">
        <v>0</v>
      </c>
      <c r="M6" s="64">
        <v>0</v>
      </c>
      <c r="N6" s="64">
        <v>0</v>
      </c>
      <c r="O6" s="64">
        <v>0</v>
      </c>
    </row>
    <row r="7" spans="1:16" s="4" customFormat="1" ht="25.9" customHeight="1" x14ac:dyDescent="0.25">
      <c r="A7" s="64">
        <v>3</v>
      </c>
      <c r="B7" s="79" t="s">
        <v>12</v>
      </c>
      <c r="C7" s="80">
        <v>1618</v>
      </c>
      <c r="D7" s="80">
        <v>1631</v>
      </c>
      <c r="E7" s="64">
        <v>3249</v>
      </c>
      <c r="F7" s="64">
        <v>308</v>
      </c>
      <c r="G7" s="64">
        <v>160</v>
      </c>
      <c r="H7" s="64">
        <f t="shared" si="1"/>
        <v>468</v>
      </c>
      <c r="I7" s="64">
        <v>0</v>
      </c>
      <c r="J7" s="64">
        <v>0</v>
      </c>
      <c r="K7" s="64">
        <f t="shared" si="0"/>
        <v>0</v>
      </c>
      <c r="L7" s="64">
        <v>0</v>
      </c>
      <c r="M7" s="64">
        <v>0</v>
      </c>
      <c r="N7" s="64">
        <v>0</v>
      </c>
      <c r="O7" s="64">
        <v>0</v>
      </c>
    </row>
    <row r="8" spans="1:16" s="4" customFormat="1" ht="25.9" customHeight="1" x14ac:dyDescent="0.25">
      <c r="A8" s="64">
        <v>4</v>
      </c>
      <c r="B8" s="79" t="s">
        <v>11</v>
      </c>
      <c r="C8" s="80">
        <v>683</v>
      </c>
      <c r="D8" s="80">
        <v>693</v>
      </c>
      <c r="E8" s="64">
        <v>1376</v>
      </c>
      <c r="F8" s="64">
        <v>47</v>
      </c>
      <c r="G8" s="64">
        <v>11</v>
      </c>
      <c r="H8" s="64">
        <f t="shared" si="1"/>
        <v>58</v>
      </c>
      <c r="I8" s="64">
        <v>0</v>
      </c>
      <c r="J8" s="64">
        <v>0</v>
      </c>
      <c r="K8" s="64">
        <f t="shared" si="0"/>
        <v>0</v>
      </c>
      <c r="L8" s="64">
        <v>0</v>
      </c>
      <c r="M8" s="64">
        <v>0</v>
      </c>
      <c r="N8" s="64">
        <v>0</v>
      </c>
      <c r="O8" s="64">
        <v>0</v>
      </c>
    </row>
    <row r="9" spans="1:16" s="4" customFormat="1" ht="25.9" customHeight="1" x14ac:dyDescent="0.25">
      <c r="A9" s="64">
        <v>5</v>
      </c>
      <c r="B9" s="79" t="s">
        <v>10</v>
      </c>
      <c r="C9" s="63">
        <v>2198</v>
      </c>
      <c r="D9" s="63">
        <v>2067</v>
      </c>
      <c r="E9" s="64">
        <v>4265</v>
      </c>
      <c r="F9" s="27">
        <v>174</v>
      </c>
      <c r="G9" s="27">
        <v>66</v>
      </c>
      <c r="H9" s="64">
        <f t="shared" si="1"/>
        <v>240</v>
      </c>
      <c r="I9" s="64">
        <v>0</v>
      </c>
      <c r="J9" s="64">
        <v>0</v>
      </c>
      <c r="K9" s="64">
        <f t="shared" si="0"/>
        <v>0</v>
      </c>
      <c r="L9" s="64">
        <v>0</v>
      </c>
      <c r="M9" s="64">
        <v>0</v>
      </c>
      <c r="N9" s="64">
        <v>0</v>
      </c>
      <c r="O9" s="64">
        <v>0</v>
      </c>
    </row>
    <row r="10" spans="1:16" s="4" customFormat="1" ht="25.9" customHeight="1" x14ac:dyDescent="0.25">
      <c r="A10" s="64">
        <v>6</v>
      </c>
      <c r="B10" s="79" t="s">
        <v>9</v>
      </c>
      <c r="C10" s="63">
        <v>4823</v>
      </c>
      <c r="D10" s="80">
        <v>4427</v>
      </c>
      <c r="E10" s="64">
        <v>9250</v>
      </c>
      <c r="F10" s="64">
        <v>170</v>
      </c>
      <c r="G10" s="64">
        <v>55</v>
      </c>
      <c r="H10" s="64">
        <f t="shared" si="1"/>
        <v>225</v>
      </c>
      <c r="I10" s="64">
        <v>0</v>
      </c>
      <c r="J10" s="64">
        <v>0</v>
      </c>
      <c r="K10" s="64">
        <f t="shared" si="0"/>
        <v>0</v>
      </c>
      <c r="L10" s="64">
        <v>0</v>
      </c>
      <c r="M10" s="64">
        <v>0</v>
      </c>
      <c r="N10" s="64">
        <v>0</v>
      </c>
      <c r="O10" s="64">
        <v>0</v>
      </c>
    </row>
    <row r="11" spans="1:16" s="4" customFormat="1" ht="25.9" customHeight="1" x14ac:dyDescent="0.25">
      <c r="A11" s="64">
        <v>7</v>
      </c>
      <c r="B11" s="79" t="s">
        <v>8</v>
      </c>
      <c r="C11" s="63">
        <v>6484</v>
      </c>
      <c r="D11" s="80">
        <v>6381</v>
      </c>
      <c r="E11" s="64">
        <v>12865</v>
      </c>
      <c r="F11" s="64">
        <v>156</v>
      </c>
      <c r="G11" s="64">
        <v>42</v>
      </c>
      <c r="H11" s="64">
        <f t="shared" si="1"/>
        <v>198</v>
      </c>
      <c r="I11" s="64">
        <v>0</v>
      </c>
      <c r="J11" s="64">
        <v>0</v>
      </c>
      <c r="K11" s="64">
        <f t="shared" si="0"/>
        <v>0</v>
      </c>
      <c r="L11" s="64">
        <v>0</v>
      </c>
      <c r="M11" s="64">
        <v>0</v>
      </c>
      <c r="N11" s="64">
        <v>0</v>
      </c>
      <c r="O11" s="64">
        <v>0</v>
      </c>
    </row>
    <row r="12" spans="1:16" s="4" customFormat="1" ht="25.9" customHeight="1" x14ac:dyDescent="0.25">
      <c r="A12" s="64">
        <v>8</v>
      </c>
      <c r="B12" s="79" t="s">
        <v>7</v>
      </c>
      <c r="C12" s="63">
        <v>10697</v>
      </c>
      <c r="D12" s="80">
        <v>11091</v>
      </c>
      <c r="E12" s="64">
        <v>21788</v>
      </c>
      <c r="F12" s="64">
        <v>1265</v>
      </c>
      <c r="G12" s="64">
        <v>511</v>
      </c>
      <c r="H12" s="64">
        <f t="shared" si="1"/>
        <v>1776</v>
      </c>
      <c r="I12" s="64">
        <v>0</v>
      </c>
      <c r="J12" s="64">
        <v>0</v>
      </c>
      <c r="K12" s="64">
        <f t="shared" si="0"/>
        <v>0</v>
      </c>
      <c r="L12" s="64">
        <v>0</v>
      </c>
      <c r="M12" s="64">
        <v>0</v>
      </c>
      <c r="N12" s="64">
        <v>0</v>
      </c>
      <c r="O12" s="64">
        <v>0</v>
      </c>
    </row>
    <row r="13" spans="1:16" s="4" customFormat="1" ht="25.9" customHeight="1" x14ac:dyDescent="0.25">
      <c r="A13" s="64">
        <v>9</v>
      </c>
      <c r="B13" s="81" t="s">
        <v>6</v>
      </c>
      <c r="C13" s="80">
        <v>1115</v>
      </c>
      <c r="D13" s="80">
        <v>1075</v>
      </c>
      <c r="E13" s="64">
        <v>2190</v>
      </c>
      <c r="F13" s="64">
        <v>17</v>
      </c>
      <c r="G13" s="64">
        <v>11</v>
      </c>
      <c r="H13" s="64">
        <f t="shared" si="1"/>
        <v>28</v>
      </c>
      <c r="I13" s="64">
        <v>0</v>
      </c>
      <c r="J13" s="64">
        <v>0</v>
      </c>
      <c r="K13" s="64">
        <f t="shared" si="0"/>
        <v>0</v>
      </c>
      <c r="L13" s="64">
        <v>0</v>
      </c>
      <c r="M13" s="64">
        <v>0</v>
      </c>
      <c r="N13" s="64">
        <v>0</v>
      </c>
      <c r="O13" s="64">
        <v>0</v>
      </c>
    </row>
    <row r="14" spans="1:16" s="4" customFormat="1" ht="25.9" customHeight="1" x14ac:dyDescent="0.25">
      <c r="A14" s="64">
        <v>10</v>
      </c>
      <c r="B14" s="79" t="s">
        <v>5</v>
      </c>
      <c r="C14" s="63">
        <v>324</v>
      </c>
      <c r="D14" s="63">
        <v>278</v>
      </c>
      <c r="E14" s="63">
        <v>602</v>
      </c>
      <c r="F14" s="63">
        <v>46</v>
      </c>
      <c r="G14" s="63">
        <v>69</v>
      </c>
      <c r="H14" s="64">
        <f t="shared" si="1"/>
        <v>115</v>
      </c>
      <c r="I14" s="62">
        <v>0</v>
      </c>
      <c r="J14" s="63">
        <v>0</v>
      </c>
      <c r="K14" s="64">
        <f t="shared" si="0"/>
        <v>0</v>
      </c>
      <c r="L14" s="63">
        <v>0</v>
      </c>
      <c r="M14" s="63">
        <v>0</v>
      </c>
      <c r="N14" s="63">
        <v>0</v>
      </c>
      <c r="O14" s="63">
        <v>0</v>
      </c>
    </row>
    <row r="15" spans="1:16" s="4" customFormat="1" ht="25.9" customHeight="1" x14ac:dyDescent="0.25">
      <c r="A15" s="64">
        <v>11</v>
      </c>
      <c r="B15" s="79" t="s">
        <v>4</v>
      </c>
      <c r="C15" s="63">
        <v>439</v>
      </c>
      <c r="D15" s="63">
        <v>400</v>
      </c>
      <c r="E15" s="64">
        <v>839</v>
      </c>
      <c r="F15" s="64">
        <v>28</v>
      </c>
      <c r="G15" s="64">
        <v>6</v>
      </c>
      <c r="H15" s="64">
        <f t="shared" si="1"/>
        <v>34</v>
      </c>
      <c r="I15" s="64">
        <v>0</v>
      </c>
      <c r="J15" s="64">
        <v>0</v>
      </c>
      <c r="K15" s="64">
        <f t="shared" si="0"/>
        <v>0</v>
      </c>
      <c r="L15" s="64">
        <v>0</v>
      </c>
      <c r="M15" s="64">
        <v>0</v>
      </c>
      <c r="N15" s="64">
        <v>0</v>
      </c>
      <c r="O15" s="64">
        <v>0</v>
      </c>
    </row>
    <row r="16" spans="1:16" s="83" customFormat="1" ht="25.9" customHeight="1" x14ac:dyDescent="0.25">
      <c r="A16" s="82"/>
      <c r="B16" s="82" t="s">
        <v>0</v>
      </c>
      <c r="C16" s="45">
        <f>SUM(C5:C15)</f>
        <v>32881</v>
      </c>
      <c r="D16" s="45">
        <f>SUM(D5:D15)</f>
        <v>32688</v>
      </c>
      <c r="E16" s="45">
        <f t="shared" ref="E16" si="2">SUM(C16:D16)</f>
        <v>65569</v>
      </c>
      <c r="F16" s="45">
        <f t="shared" ref="F16:O16" si="3">SUM(F5:F15)</f>
        <v>2727</v>
      </c>
      <c r="G16" s="45">
        <f t="shared" si="3"/>
        <v>1207</v>
      </c>
      <c r="H16" s="45">
        <f>SUM(H5:H15)</f>
        <v>3934</v>
      </c>
      <c r="I16" s="45">
        <f t="shared" si="3"/>
        <v>3</v>
      </c>
      <c r="J16" s="45">
        <f t="shared" si="3"/>
        <v>3</v>
      </c>
      <c r="K16" s="45">
        <f t="shared" si="3"/>
        <v>6</v>
      </c>
      <c r="L16" s="45">
        <f t="shared" si="3"/>
        <v>0</v>
      </c>
      <c r="M16" s="45">
        <f t="shared" si="3"/>
        <v>0</v>
      </c>
      <c r="N16" s="45">
        <f t="shared" si="3"/>
        <v>0</v>
      </c>
      <c r="O16" s="45">
        <f t="shared" si="3"/>
        <v>0</v>
      </c>
    </row>
    <row r="18" spans="1:5" x14ac:dyDescent="0.25">
      <c r="A18" s="66" t="s">
        <v>214</v>
      </c>
      <c r="C18" s="3"/>
      <c r="D18" s="3"/>
      <c r="E18" s="3"/>
    </row>
  </sheetData>
  <mergeCells count="9">
    <mergeCell ref="A1:O1"/>
    <mergeCell ref="A2:O2"/>
    <mergeCell ref="M3:O3"/>
    <mergeCell ref="A3:A4"/>
    <mergeCell ref="B3:B4"/>
    <mergeCell ref="C3:E3"/>
    <mergeCell ref="F3:H3"/>
    <mergeCell ref="I3:K3"/>
    <mergeCell ref="L3:L4"/>
  </mergeCells>
  <pageMargins left="0.41" right="0.23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19"/>
  <sheetViews>
    <sheetView workbookViewId="0">
      <selection activeCell="A3" sqref="A3:N3"/>
    </sheetView>
  </sheetViews>
  <sheetFormatPr defaultRowHeight="15" x14ac:dyDescent="0.25"/>
  <cols>
    <col min="1" max="1" width="6.7109375" style="1" customWidth="1"/>
    <col min="2" max="2" width="13.140625" customWidth="1"/>
    <col min="4" max="4" width="9.85546875" customWidth="1"/>
    <col min="5" max="5" width="10.7109375" customWidth="1"/>
    <col min="6" max="6" width="11.28515625" customWidth="1"/>
    <col min="13" max="13" width="10.85546875" customWidth="1"/>
  </cols>
  <sheetData>
    <row r="1" spans="1:14" s="7" customFormat="1" ht="15.75" x14ac:dyDescent="0.25">
      <c r="A1" s="183" t="s">
        <v>151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</row>
    <row r="2" spans="1:14" s="7" customFormat="1" ht="15.75" x14ac:dyDescent="0.25">
      <c r="A2" s="183" t="s">
        <v>226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</row>
    <row r="3" spans="1:14" s="7" customFormat="1" ht="15.75" x14ac:dyDescent="0.25">
      <c r="A3" s="183" t="s">
        <v>152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</row>
    <row r="4" spans="1:14" s="65" customFormat="1" ht="31.5" x14ac:dyDescent="0.25">
      <c r="A4" s="87" t="s">
        <v>25</v>
      </c>
      <c r="B4" s="88" t="s">
        <v>24</v>
      </c>
      <c r="C4" s="184" t="s">
        <v>84</v>
      </c>
      <c r="D4" s="184"/>
      <c r="E4" s="184"/>
      <c r="F4" s="184"/>
      <c r="G4" s="184" t="s">
        <v>1</v>
      </c>
      <c r="H4" s="184"/>
      <c r="I4" s="184"/>
      <c r="J4" s="184"/>
      <c r="K4" s="184" t="s">
        <v>153</v>
      </c>
      <c r="L4" s="184"/>
      <c r="M4" s="184"/>
      <c r="N4" s="184"/>
    </row>
    <row r="5" spans="1:14" s="65" customFormat="1" ht="47.25" x14ac:dyDescent="0.25">
      <c r="A5" s="89"/>
      <c r="B5" s="88"/>
      <c r="C5" s="87" t="s">
        <v>154</v>
      </c>
      <c r="D5" s="87" t="s">
        <v>155</v>
      </c>
      <c r="E5" s="87" t="s">
        <v>156</v>
      </c>
      <c r="F5" s="87" t="s">
        <v>157</v>
      </c>
      <c r="G5" s="87" t="s">
        <v>158</v>
      </c>
      <c r="H5" s="87" t="s">
        <v>159</v>
      </c>
      <c r="I5" s="87" t="s">
        <v>156</v>
      </c>
      <c r="J5" s="87" t="s">
        <v>157</v>
      </c>
      <c r="K5" s="87" t="s">
        <v>154</v>
      </c>
      <c r="L5" s="87" t="s">
        <v>155</v>
      </c>
      <c r="M5" s="87" t="s">
        <v>160</v>
      </c>
      <c r="N5" s="87" t="s">
        <v>161</v>
      </c>
    </row>
    <row r="6" spans="1:14" s="7" customFormat="1" ht="26.45" customHeight="1" x14ac:dyDescent="0.25">
      <c r="A6" s="21">
        <v>1</v>
      </c>
      <c r="B6" s="20" t="s">
        <v>14</v>
      </c>
      <c r="C6" s="22">
        <v>2.2012820444661974</v>
      </c>
      <c r="D6" s="22">
        <v>1.1853057162510294</v>
      </c>
      <c r="E6" s="21">
        <v>0</v>
      </c>
      <c r="F6" s="21">
        <v>0</v>
      </c>
      <c r="G6" s="22">
        <v>4.7284825600162899</v>
      </c>
      <c r="H6" s="22">
        <v>0.86302058994162356</v>
      </c>
      <c r="I6" s="21">
        <v>0</v>
      </c>
      <c r="J6" s="21">
        <v>0</v>
      </c>
      <c r="K6" s="22">
        <v>3.5317957498821029</v>
      </c>
      <c r="L6" s="22">
        <v>1.0156299129390698</v>
      </c>
      <c r="M6" s="21">
        <v>0</v>
      </c>
      <c r="N6" s="21">
        <v>0</v>
      </c>
    </row>
    <row r="7" spans="1:14" s="7" customFormat="1" ht="26.45" customHeight="1" x14ac:dyDescent="0.25">
      <c r="A7" s="21">
        <v>2</v>
      </c>
      <c r="B7" s="20" t="s">
        <v>13</v>
      </c>
      <c r="C7" s="22">
        <v>1.7463592673568853</v>
      </c>
      <c r="D7" s="22">
        <v>0.80215545294861723</v>
      </c>
      <c r="E7" s="22">
        <v>3.3423143872859051E-2</v>
      </c>
      <c r="F7" s="21">
        <v>0</v>
      </c>
      <c r="G7" s="22">
        <v>12.792776192159748</v>
      </c>
      <c r="H7" s="22">
        <v>1.500828491817624</v>
      </c>
      <c r="I7" s="22">
        <v>7.1468023419886853E-2</v>
      </c>
      <c r="J7" s="21">
        <v>0</v>
      </c>
      <c r="K7" s="22">
        <v>3.8398480198589953</v>
      </c>
      <c r="L7" s="22">
        <v>0.93456618472758612</v>
      </c>
      <c r="M7" s="22">
        <v>4.0633312379460301E-2</v>
      </c>
      <c r="N7" s="21">
        <v>0</v>
      </c>
    </row>
    <row r="8" spans="1:14" s="7" customFormat="1" ht="26.45" customHeight="1" x14ac:dyDescent="0.25">
      <c r="A8" s="21">
        <v>3</v>
      </c>
      <c r="B8" s="20" t="s">
        <v>12</v>
      </c>
      <c r="C8" s="22">
        <v>1.6359227603797684</v>
      </c>
      <c r="D8" s="22">
        <v>1.074809156578012</v>
      </c>
      <c r="E8" s="21">
        <v>0</v>
      </c>
      <c r="F8" s="21">
        <v>0</v>
      </c>
      <c r="G8" s="22">
        <v>3.041462973350721</v>
      </c>
      <c r="H8" s="22">
        <v>2.962668595802775</v>
      </c>
      <c r="I8" s="21">
        <v>0</v>
      </c>
      <c r="J8" s="21">
        <v>0</v>
      </c>
      <c r="K8" s="22">
        <v>2.105369582521154</v>
      </c>
      <c r="L8" s="22">
        <v>1.7053493618421347</v>
      </c>
      <c r="M8" s="21">
        <v>0</v>
      </c>
      <c r="N8" s="21">
        <v>0</v>
      </c>
    </row>
    <row r="9" spans="1:14" s="7" customFormat="1" ht="26.45" customHeight="1" x14ac:dyDescent="0.25">
      <c r="A9" s="21">
        <v>4</v>
      </c>
      <c r="B9" s="20" t="s">
        <v>11</v>
      </c>
      <c r="C9" s="22">
        <v>0.25351972039670634</v>
      </c>
      <c r="D9" s="22">
        <v>9.9597033012991776E-2</v>
      </c>
      <c r="E9" s="21">
        <v>0</v>
      </c>
      <c r="F9" s="21">
        <v>0</v>
      </c>
      <c r="G9" s="22">
        <v>0.82788795984662811</v>
      </c>
      <c r="H9" s="22">
        <v>0.52683779262967245</v>
      </c>
      <c r="I9" s="21">
        <v>0</v>
      </c>
      <c r="J9" s="21">
        <v>0</v>
      </c>
      <c r="K9" s="22">
        <v>0.40584004282114966</v>
      </c>
      <c r="L9" s="22">
        <v>0.21289969459470146</v>
      </c>
      <c r="M9" s="21">
        <v>0</v>
      </c>
      <c r="N9" s="21">
        <v>0</v>
      </c>
    </row>
    <row r="10" spans="1:14" s="7" customFormat="1" ht="26.45" customHeight="1" x14ac:dyDescent="0.25">
      <c r="A10" s="21">
        <v>5</v>
      </c>
      <c r="B10" s="20" t="s">
        <v>10</v>
      </c>
      <c r="C10" s="22">
        <v>0.51638996258674341</v>
      </c>
      <c r="D10" s="22">
        <v>0.3920738604825274</v>
      </c>
      <c r="E10" s="21">
        <v>0</v>
      </c>
      <c r="F10" s="21">
        <v>0</v>
      </c>
      <c r="G10" s="22">
        <v>2.1001840885945122</v>
      </c>
      <c r="H10" s="22">
        <v>3.9776213799138485</v>
      </c>
      <c r="I10" s="21">
        <v>0</v>
      </c>
      <c r="J10" s="21">
        <v>0</v>
      </c>
      <c r="K10" s="22">
        <v>0.88236624221169302</v>
      </c>
      <c r="L10" s="22">
        <v>1.2206066350595086</v>
      </c>
      <c r="M10" s="21">
        <v>0</v>
      </c>
      <c r="N10" s="21">
        <v>0</v>
      </c>
    </row>
    <row r="11" spans="1:14" s="7" customFormat="1" ht="26.45" customHeight="1" x14ac:dyDescent="0.25">
      <c r="A11" s="21">
        <v>6</v>
      </c>
      <c r="B11" s="20" t="s">
        <v>9</v>
      </c>
      <c r="C11" s="22">
        <v>1.9941219968762172</v>
      </c>
      <c r="D11" s="22">
        <v>0.5303515949138875</v>
      </c>
      <c r="E11" s="21">
        <v>0</v>
      </c>
      <c r="F11" s="21">
        <v>0</v>
      </c>
      <c r="G11" s="22">
        <v>3.8446809534255029</v>
      </c>
      <c r="H11" s="22">
        <v>2.1969605448145728</v>
      </c>
      <c r="I11" s="21">
        <v>0</v>
      </c>
      <c r="J11" s="21">
        <v>0</v>
      </c>
      <c r="K11" s="22">
        <v>2.4169130589708407</v>
      </c>
      <c r="L11" s="22">
        <v>0.91111620958945927</v>
      </c>
      <c r="M11" s="21">
        <v>0</v>
      </c>
      <c r="N11" s="21">
        <v>0</v>
      </c>
    </row>
    <row r="12" spans="1:14" s="7" customFormat="1" ht="26.45" customHeight="1" x14ac:dyDescent="0.25">
      <c r="A12" s="21">
        <v>7</v>
      </c>
      <c r="B12" s="20" t="s">
        <v>8</v>
      </c>
      <c r="C12" s="22">
        <v>1.300735566289823</v>
      </c>
      <c r="D12" s="22">
        <v>0.16615235335818909</v>
      </c>
      <c r="E12" s="21">
        <v>0</v>
      </c>
      <c r="F12" s="21">
        <v>0</v>
      </c>
      <c r="G12" s="22">
        <v>4.8441247873839668</v>
      </c>
      <c r="H12" s="22">
        <v>3.5438597128756388</v>
      </c>
      <c r="I12" s="21">
        <v>0</v>
      </c>
      <c r="J12" s="21">
        <v>0</v>
      </c>
      <c r="K12" s="22">
        <v>1.8569447222031978</v>
      </c>
      <c r="L12" s="22">
        <v>0.69635427082619905</v>
      </c>
      <c r="M12" s="21">
        <v>0</v>
      </c>
      <c r="N12" s="21">
        <v>0</v>
      </c>
    </row>
    <row r="13" spans="1:14" s="7" customFormat="1" ht="26.45" customHeight="1" x14ac:dyDescent="0.25">
      <c r="A13" s="21">
        <v>8</v>
      </c>
      <c r="B13" s="20" t="s">
        <v>7</v>
      </c>
      <c r="C13" s="22">
        <v>1.8461520605101367</v>
      </c>
      <c r="D13" s="22">
        <v>5.0753321251137774E-2</v>
      </c>
      <c r="E13" s="21">
        <v>0</v>
      </c>
      <c r="F13" s="21">
        <v>0</v>
      </c>
      <c r="G13" s="22">
        <v>12.173721176678566</v>
      </c>
      <c r="H13" s="22">
        <v>5.1348871313952245</v>
      </c>
      <c r="I13" s="21">
        <v>0</v>
      </c>
      <c r="J13" s="21">
        <v>0</v>
      </c>
      <c r="K13" s="22">
        <v>7.9227764674153729</v>
      </c>
      <c r="L13" s="22">
        <v>3.0421999289844788</v>
      </c>
      <c r="M13" s="21">
        <v>0</v>
      </c>
      <c r="N13" s="21">
        <v>0</v>
      </c>
    </row>
    <row r="14" spans="1:14" s="7" customFormat="1" ht="26.45" customHeight="1" x14ac:dyDescent="0.25">
      <c r="A14" s="21">
        <v>9</v>
      </c>
      <c r="B14" s="20" t="s">
        <v>6</v>
      </c>
      <c r="C14" s="22">
        <v>0.66742139660198962</v>
      </c>
      <c r="D14" s="22">
        <v>0.15704032861223283</v>
      </c>
      <c r="E14" s="21">
        <v>0</v>
      </c>
      <c r="F14" s="21">
        <v>0</v>
      </c>
      <c r="G14" s="22">
        <v>6.2407546846731154</v>
      </c>
      <c r="H14" s="22">
        <v>0.44576819176236537</v>
      </c>
      <c r="I14" s="21">
        <v>0</v>
      </c>
      <c r="J14" s="21">
        <v>0</v>
      </c>
      <c r="K14" s="22">
        <v>1.6175130560191966</v>
      </c>
      <c r="L14" s="22">
        <v>0.20626005412325324</v>
      </c>
      <c r="M14" s="21">
        <v>0</v>
      </c>
      <c r="N14" s="21">
        <v>0</v>
      </c>
    </row>
    <row r="15" spans="1:14" s="7" customFormat="1" ht="26.45" customHeight="1" x14ac:dyDescent="0.25">
      <c r="A15" s="21">
        <v>10</v>
      </c>
      <c r="B15" s="20" t="s">
        <v>5</v>
      </c>
      <c r="C15" s="22">
        <v>0.67391882187712415</v>
      </c>
      <c r="D15" s="22">
        <v>0.52950764576059761</v>
      </c>
      <c r="E15" s="21">
        <v>0</v>
      </c>
      <c r="F15" s="21">
        <v>0</v>
      </c>
      <c r="G15" s="22">
        <v>2.9991129360394524</v>
      </c>
      <c r="H15" s="22">
        <v>0</v>
      </c>
      <c r="I15" s="21">
        <v>0</v>
      </c>
      <c r="J15" s="21">
        <v>0</v>
      </c>
      <c r="K15" s="22">
        <v>1.0753274677043942</v>
      </c>
      <c r="L15" s="22">
        <v>0.43809637573141985</v>
      </c>
      <c r="M15" s="21">
        <v>0</v>
      </c>
      <c r="N15" s="21">
        <v>0</v>
      </c>
    </row>
    <row r="16" spans="1:14" s="7" customFormat="1" ht="26.45" customHeight="1" x14ac:dyDescent="0.25">
      <c r="A16" s="21">
        <v>11</v>
      </c>
      <c r="B16" s="20" t="s">
        <v>4</v>
      </c>
      <c r="C16" s="22">
        <v>8.7245096507801143E-2</v>
      </c>
      <c r="D16" s="22">
        <v>0</v>
      </c>
      <c r="E16" s="21">
        <v>0</v>
      </c>
      <c r="F16" s="21">
        <v>0</v>
      </c>
      <c r="G16" s="22">
        <v>0.63916783242932718</v>
      </c>
      <c r="H16" s="22">
        <v>1.810975525216427</v>
      </c>
      <c r="I16" s="21">
        <v>0</v>
      </c>
      <c r="J16" s="21">
        <v>0</v>
      </c>
      <c r="K16" s="22">
        <v>0.24759270055190066</v>
      </c>
      <c r="L16" s="22">
        <v>0.52613448867278889</v>
      </c>
      <c r="M16" s="21">
        <v>0</v>
      </c>
      <c r="N16" s="21">
        <v>0</v>
      </c>
    </row>
    <row r="17" spans="1:14" s="7" customFormat="1" ht="26.45" customHeight="1" x14ac:dyDescent="0.25">
      <c r="A17" s="181" t="s">
        <v>40</v>
      </c>
      <c r="B17" s="182"/>
      <c r="C17" s="22">
        <v>1.3513431316346229</v>
      </c>
      <c r="D17" s="22">
        <v>0.46315875705054976</v>
      </c>
      <c r="E17" s="106">
        <v>3.1777616264188663E-3</v>
      </c>
      <c r="F17" s="76">
        <v>0</v>
      </c>
      <c r="G17" s="22">
        <v>6.9703559349980004</v>
      </c>
      <c r="H17" s="76">
        <v>2.9591714075322488</v>
      </c>
      <c r="I17" s="106">
        <v>3.0760617541915271E-3</v>
      </c>
      <c r="J17" s="76">
        <v>0</v>
      </c>
      <c r="K17" s="76">
        <v>3.2651805483761458</v>
      </c>
      <c r="L17" s="76">
        <v>1.3133014013763833</v>
      </c>
      <c r="M17" s="106">
        <v>3.0760617541915271E-3</v>
      </c>
      <c r="N17" s="76">
        <v>0</v>
      </c>
    </row>
    <row r="19" spans="1:14" x14ac:dyDescent="0.25">
      <c r="A19" s="90" t="s">
        <v>214</v>
      </c>
      <c r="B19" s="90"/>
      <c r="C19" s="90"/>
      <c r="D19" s="90"/>
      <c r="E19" s="90"/>
      <c r="F19" s="90"/>
    </row>
  </sheetData>
  <mergeCells count="7">
    <mergeCell ref="A17:B17"/>
    <mergeCell ref="A1:N1"/>
    <mergeCell ref="A2:N2"/>
    <mergeCell ref="A3:N3"/>
    <mergeCell ref="C4:F4"/>
    <mergeCell ref="G4:J4"/>
    <mergeCell ref="K4:N4"/>
  </mergeCells>
  <pageMargins left="0.46" right="0.28000000000000003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L13"/>
  <sheetViews>
    <sheetView workbookViewId="0">
      <selection activeCell="A3" sqref="A3:L3"/>
    </sheetView>
  </sheetViews>
  <sheetFormatPr defaultRowHeight="15" x14ac:dyDescent="0.25"/>
  <cols>
    <col min="1" max="1" width="7.7109375" style="1" customWidth="1"/>
    <col min="2" max="2" width="18.5703125" customWidth="1"/>
    <col min="3" max="3" width="11.140625" customWidth="1"/>
    <col min="4" max="4" width="14.42578125" customWidth="1"/>
    <col min="8" max="8" width="10.28515625" customWidth="1"/>
    <col min="9" max="9" width="11.85546875" customWidth="1"/>
    <col min="10" max="10" width="13.42578125" customWidth="1"/>
    <col min="12" max="12" width="9.7109375" customWidth="1"/>
  </cols>
  <sheetData>
    <row r="1" spans="1:12" s="7" customFormat="1" ht="26.45" customHeight="1" x14ac:dyDescent="0.25">
      <c r="A1" s="159" t="s">
        <v>162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s="7" customFormat="1" ht="26.45" customHeight="1" x14ac:dyDescent="0.25">
      <c r="A2" s="160" t="s">
        <v>230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3" spans="1:12" s="7" customFormat="1" ht="15.75" x14ac:dyDescent="0.25">
      <c r="A3" s="185" t="s">
        <v>163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</row>
    <row r="4" spans="1:12" s="65" customFormat="1" ht="74.45" customHeight="1" x14ac:dyDescent="0.25">
      <c r="A4" s="49" t="s">
        <v>111</v>
      </c>
      <c r="B4" s="131" t="s">
        <v>164</v>
      </c>
      <c r="C4" s="49" t="s">
        <v>165</v>
      </c>
      <c r="D4" s="49" t="s">
        <v>166</v>
      </c>
      <c r="E4" s="49" t="s">
        <v>167</v>
      </c>
      <c r="F4" s="49" t="s">
        <v>168</v>
      </c>
      <c r="G4" s="49" t="s">
        <v>169</v>
      </c>
      <c r="H4" s="49" t="s">
        <v>161</v>
      </c>
      <c r="I4" s="49" t="s">
        <v>154</v>
      </c>
      <c r="J4" s="49" t="s">
        <v>155</v>
      </c>
      <c r="K4" s="49" t="s">
        <v>156</v>
      </c>
      <c r="L4" s="49" t="s">
        <v>170</v>
      </c>
    </row>
    <row r="5" spans="1:12" s="7" customFormat="1" ht="26.45" customHeight="1" x14ac:dyDescent="0.25">
      <c r="A5" s="128">
        <v>1</v>
      </c>
      <c r="B5" s="120" t="s">
        <v>171</v>
      </c>
      <c r="C5" s="121">
        <v>121088</v>
      </c>
      <c r="D5" s="129">
        <v>137887.78783139971</v>
      </c>
      <c r="E5" s="128">
        <v>652</v>
      </c>
      <c r="F5" s="128">
        <v>119</v>
      </c>
      <c r="G5" s="128">
        <v>0</v>
      </c>
      <c r="H5" s="128">
        <v>0</v>
      </c>
      <c r="I5" s="130">
        <v>4.7300000000000004</v>
      </c>
      <c r="J5" s="130">
        <v>0.86</v>
      </c>
      <c r="K5" s="129">
        <v>0</v>
      </c>
      <c r="L5" s="129">
        <v>0</v>
      </c>
    </row>
    <row r="6" spans="1:12" s="7" customFormat="1" ht="26.45" customHeight="1" x14ac:dyDescent="0.25">
      <c r="A6" s="24">
        <v>2</v>
      </c>
      <c r="B6" s="14" t="s">
        <v>172</v>
      </c>
      <c r="C6" s="15">
        <v>197869</v>
      </c>
      <c r="D6" s="23">
        <v>225321.4083180103</v>
      </c>
      <c r="E6" s="24">
        <v>2743</v>
      </c>
      <c r="F6" s="24">
        <v>1157</v>
      </c>
      <c r="G6" s="24">
        <v>0</v>
      </c>
      <c r="H6" s="24">
        <v>0</v>
      </c>
      <c r="I6" s="25">
        <v>12.17</v>
      </c>
      <c r="J6" s="25">
        <v>5.13</v>
      </c>
      <c r="K6" s="23">
        <v>0</v>
      </c>
      <c r="L6" s="23">
        <v>0</v>
      </c>
    </row>
    <row r="7" spans="1:12" s="7" customFormat="1" ht="26.45" customHeight="1" x14ac:dyDescent="0.25">
      <c r="A7" s="24">
        <v>3</v>
      </c>
      <c r="B7" s="14" t="s">
        <v>173</v>
      </c>
      <c r="C7" s="15">
        <v>35004</v>
      </c>
      <c r="D7" s="23">
        <v>39860.466150653374</v>
      </c>
      <c r="E7" s="24">
        <v>33</v>
      </c>
      <c r="F7" s="24">
        <v>21</v>
      </c>
      <c r="G7" s="24">
        <v>0</v>
      </c>
      <c r="H7" s="24">
        <v>0</v>
      </c>
      <c r="I7" s="25">
        <v>0.83</v>
      </c>
      <c r="J7" s="25">
        <v>0.53</v>
      </c>
      <c r="K7" s="23">
        <v>0</v>
      </c>
      <c r="L7" s="23">
        <v>0</v>
      </c>
    </row>
    <row r="8" spans="1:12" s="7" customFormat="1" ht="26.45" customHeight="1" x14ac:dyDescent="0.25">
      <c r="A8" s="24">
        <v>4</v>
      </c>
      <c r="B8" s="14" t="s">
        <v>174</v>
      </c>
      <c r="C8" s="15">
        <v>55725</v>
      </c>
      <c r="D8" s="23">
        <v>63456.304315082823</v>
      </c>
      <c r="E8" s="24">
        <v>193</v>
      </c>
      <c r="F8" s="24">
        <v>188</v>
      </c>
      <c r="G8" s="24">
        <v>0</v>
      </c>
      <c r="H8" s="24">
        <v>0</v>
      </c>
      <c r="I8" s="25">
        <v>3.04</v>
      </c>
      <c r="J8" s="25">
        <v>2.96</v>
      </c>
      <c r="K8" s="23">
        <v>0</v>
      </c>
      <c r="L8" s="23">
        <v>0</v>
      </c>
    </row>
    <row r="9" spans="1:12" s="7" customFormat="1" ht="26.45" customHeight="1" x14ac:dyDescent="0.25">
      <c r="A9" s="24">
        <v>5</v>
      </c>
      <c r="B9" s="14" t="s">
        <v>175</v>
      </c>
      <c r="C9" s="15">
        <v>36774</v>
      </c>
      <c r="D9" s="23">
        <v>41876.036516516026</v>
      </c>
      <c r="E9" s="24">
        <v>161</v>
      </c>
      <c r="F9" s="24">
        <v>92</v>
      </c>
      <c r="G9" s="24">
        <v>0</v>
      </c>
      <c r="H9" s="24">
        <v>0</v>
      </c>
      <c r="I9" s="25">
        <v>3.84</v>
      </c>
      <c r="J9" s="25">
        <v>2.2000000000000002</v>
      </c>
      <c r="K9" s="23">
        <v>0</v>
      </c>
      <c r="L9" s="23">
        <v>0</v>
      </c>
    </row>
    <row r="10" spans="1:12" s="7" customFormat="1" ht="26.45" customHeight="1" x14ac:dyDescent="0.25">
      <c r="A10" s="24">
        <v>6</v>
      </c>
      <c r="B10" s="14" t="s">
        <v>8</v>
      </c>
      <c r="C10" s="15">
        <v>34444</v>
      </c>
      <c r="D10" s="23">
        <v>39222.77157162338</v>
      </c>
      <c r="E10" s="24">
        <v>190</v>
      </c>
      <c r="F10" s="26">
        <v>139</v>
      </c>
      <c r="G10" s="24">
        <v>0</v>
      </c>
      <c r="H10" s="24">
        <v>0</v>
      </c>
      <c r="I10" s="25">
        <v>4.84</v>
      </c>
      <c r="J10" s="25">
        <v>3.54</v>
      </c>
      <c r="K10" s="23">
        <v>0</v>
      </c>
      <c r="L10" s="23">
        <v>0</v>
      </c>
    </row>
    <row r="11" spans="1:12" s="7" customFormat="1" ht="26.45" customHeight="1" x14ac:dyDescent="0.25">
      <c r="A11" s="186" t="s">
        <v>40</v>
      </c>
      <c r="B11" s="186"/>
      <c r="C11" s="77">
        <f>SUM(C5:C10)</f>
        <v>480904</v>
      </c>
      <c r="D11" s="114">
        <f>SUM(D5:D10)</f>
        <v>547624.77470328554</v>
      </c>
      <c r="E11" s="77">
        <f t="shared" ref="E11:H11" si="0">SUM(E5:E10)</f>
        <v>3972</v>
      </c>
      <c r="F11" s="77">
        <f t="shared" si="0"/>
        <v>1716</v>
      </c>
      <c r="G11" s="77">
        <f t="shared" si="0"/>
        <v>0</v>
      </c>
      <c r="H11" s="77">
        <f t="shared" si="0"/>
        <v>0</v>
      </c>
      <c r="I11" s="78">
        <f>E11/D11*1000</f>
        <v>7.2531415368344359</v>
      </c>
      <c r="J11" s="78">
        <f>F11/D11*1000</f>
        <v>3.1335324464269614</v>
      </c>
      <c r="K11" s="19">
        <v>0</v>
      </c>
      <c r="L11" s="19">
        <v>0</v>
      </c>
    </row>
    <row r="13" spans="1:12" x14ac:dyDescent="0.25">
      <c r="A13" s="187" t="s">
        <v>214</v>
      </c>
      <c r="B13" s="187"/>
      <c r="C13" s="187"/>
      <c r="D13" s="187"/>
    </row>
  </sheetData>
  <mergeCells count="5">
    <mergeCell ref="A1:L1"/>
    <mergeCell ref="A2:L2"/>
    <mergeCell ref="A3:L3"/>
    <mergeCell ref="A11:B11"/>
    <mergeCell ref="A13:D13"/>
  </mergeCells>
  <pageMargins left="0.7" right="0.2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G11"/>
  <sheetViews>
    <sheetView workbookViewId="0">
      <selection activeCell="A2" sqref="A2:G2"/>
    </sheetView>
  </sheetViews>
  <sheetFormatPr defaultColWidth="8.85546875" defaultRowHeight="15" x14ac:dyDescent="0.25"/>
  <cols>
    <col min="1" max="1" width="7.5703125" style="1" customWidth="1"/>
    <col min="2" max="2" width="27.28515625" style="1" customWidth="1"/>
    <col min="3" max="3" width="13.5703125" style="1" customWidth="1"/>
    <col min="4" max="4" width="20.28515625" style="1" customWidth="1"/>
    <col min="5" max="5" width="12.42578125" style="1" customWidth="1"/>
    <col min="6" max="6" width="11.28515625" style="1" customWidth="1"/>
    <col min="7" max="7" width="12.42578125" style="1" customWidth="1"/>
    <col min="8" max="16384" width="8.85546875" style="1"/>
  </cols>
  <sheetData>
    <row r="1" spans="1:7" s="9" customFormat="1" ht="16.5" x14ac:dyDescent="0.3">
      <c r="A1" s="188" t="s">
        <v>137</v>
      </c>
      <c r="B1" s="188"/>
      <c r="C1" s="188"/>
      <c r="D1" s="188"/>
      <c r="E1" s="188"/>
      <c r="F1" s="188"/>
      <c r="G1" s="188"/>
    </row>
    <row r="2" spans="1:7" s="9" customFormat="1" ht="16.5" x14ac:dyDescent="0.3">
      <c r="A2" s="188" t="s">
        <v>218</v>
      </c>
      <c r="B2" s="188"/>
      <c r="C2" s="188"/>
      <c r="D2" s="188"/>
      <c r="E2" s="188"/>
      <c r="F2" s="188"/>
      <c r="G2" s="188"/>
    </row>
    <row r="4" spans="1:7" ht="15.75" x14ac:dyDescent="0.25">
      <c r="A4" s="189" t="s">
        <v>111</v>
      </c>
      <c r="B4" s="29"/>
      <c r="C4" s="191" t="s">
        <v>215</v>
      </c>
      <c r="D4" s="192"/>
      <c r="E4" s="192"/>
      <c r="F4" s="192"/>
      <c r="G4" s="193"/>
    </row>
    <row r="5" spans="1:7" ht="47.25" x14ac:dyDescent="0.25">
      <c r="A5" s="190"/>
      <c r="B5" s="29" t="s">
        <v>140</v>
      </c>
      <c r="C5" s="72" t="s">
        <v>130</v>
      </c>
      <c r="D5" s="72" t="s">
        <v>129</v>
      </c>
      <c r="E5" s="72" t="s">
        <v>128</v>
      </c>
      <c r="F5" s="72" t="s">
        <v>37</v>
      </c>
      <c r="G5" s="72" t="s">
        <v>0</v>
      </c>
    </row>
    <row r="6" spans="1:7" ht="15.75" x14ac:dyDescent="0.25">
      <c r="A6" s="27">
        <v>1</v>
      </c>
      <c r="B6" s="35" t="s">
        <v>2</v>
      </c>
      <c r="C6" s="27">
        <v>1467</v>
      </c>
      <c r="D6" s="27">
        <v>4994</v>
      </c>
      <c r="E6" s="27">
        <v>12834</v>
      </c>
      <c r="F6" s="27">
        <v>17172</v>
      </c>
      <c r="G6" s="27">
        <f>SUM(C6:F6)</f>
        <v>36467</v>
      </c>
    </row>
    <row r="7" spans="1:7" ht="31.5" x14ac:dyDescent="0.25">
      <c r="A7" s="27">
        <v>2</v>
      </c>
      <c r="B7" s="35" t="s">
        <v>127</v>
      </c>
      <c r="C7" s="27">
        <v>6807</v>
      </c>
      <c r="D7" s="27">
        <v>3915</v>
      </c>
      <c r="E7" s="27">
        <v>5313</v>
      </c>
      <c r="F7" s="27">
        <v>10585</v>
      </c>
      <c r="G7" s="27">
        <f t="shared" ref="G7:G8" si="0">SUM(C7:F7)</f>
        <v>26620</v>
      </c>
    </row>
    <row r="8" spans="1:7" ht="15.75" x14ac:dyDescent="0.25">
      <c r="A8" s="27">
        <v>3</v>
      </c>
      <c r="B8" s="35" t="s">
        <v>126</v>
      </c>
      <c r="C8" s="27">
        <v>727</v>
      </c>
      <c r="D8" s="27">
        <v>103</v>
      </c>
      <c r="E8" s="27">
        <v>982</v>
      </c>
      <c r="F8" s="27">
        <v>670</v>
      </c>
      <c r="G8" s="27">
        <f t="shared" si="0"/>
        <v>2482</v>
      </c>
    </row>
    <row r="9" spans="1:7" ht="15.75" x14ac:dyDescent="0.25">
      <c r="A9" s="191"/>
      <c r="B9" s="193"/>
      <c r="C9" s="75">
        <f>SUM(C6:C8)</f>
        <v>9001</v>
      </c>
      <c r="D9" s="75">
        <f t="shared" ref="D9:F9" si="1">SUM(D6:D8)</f>
        <v>9012</v>
      </c>
      <c r="E9" s="75">
        <f t="shared" si="1"/>
        <v>19129</v>
      </c>
      <c r="F9" s="75">
        <f t="shared" si="1"/>
        <v>28427</v>
      </c>
      <c r="G9" s="75">
        <f>SUM(G6:G8)</f>
        <v>65569</v>
      </c>
    </row>
    <row r="11" spans="1:7" ht="15.75" x14ac:dyDescent="0.25">
      <c r="A11" s="157" t="s">
        <v>214</v>
      </c>
      <c r="B11" s="157"/>
      <c r="C11" s="157"/>
      <c r="D11" s="157"/>
    </row>
  </sheetData>
  <mergeCells count="6">
    <mergeCell ref="A11:D11"/>
    <mergeCell ref="A1:G1"/>
    <mergeCell ref="A2:G2"/>
    <mergeCell ref="A4:A5"/>
    <mergeCell ref="C4:G4"/>
    <mergeCell ref="A9:B9"/>
  </mergeCells>
  <pageMargins left="1.91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G11"/>
  <sheetViews>
    <sheetView workbookViewId="0">
      <selection activeCell="A2" sqref="A2:G2"/>
    </sheetView>
  </sheetViews>
  <sheetFormatPr defaultColWidth="9.140625" defaultRowHeight="15.75" x14ac:dyDescent="0.25"/>
  <cols>
    <col min="1" max="1" width="9.140625" style="4"/>
    <col min="2" max="2" width="19.42578125" style="4" customWidth="1"/>
    <col min="3" max="3" width="16.7109375" style="4" customWidth="1"/>
    <col min="4" max="4" width="16.85546875" style="4" customWidth="1"/>
    <col min="5" max="5" width="16" style="4" customWidth="1"/>
    <col min="6" max="6" width="11.5703125" style="4" customWidth="1"/>
    <col min="7" max="16384" width="9.140625" style="4"/>
  </cols>
  <sheetData>
    <row r="1" spans="1:7" x14ac:dyDescent="0.25">
      <c r="A1" s="194" t="s">
        <v>138</v>
      </c>
      <c r="B1" s="194"/>
      <c r="C1" s="194"/>
      <c r="D1" s="194"/>
      <c r="E1" s="194"/>
      <c r="F1" s="194"/>
      <c r="G1" s="194"/>
    </row>
    <row r="2" spans="1:7" s="38" customFormat="1" x14ac:dyDescent="0.25">
      <c r="A2" s="195" t="s">
        <v>219</v>
      </c>
      <c r="B2" s="195"/>
      <c r="C2" s="195"/>
      <c r="D2" s="195"/>
      <c r="E2" s="195"/>
      <c r="F2" s="195"/>
      <c r="G2" s="195"/>
    </row>
    <row r="4" spans="1:7" s="6" customFormat="1" x14ac:dyDescent="0.25">
      <c r="A4" s="196" t="s">
        <v>111</v>
      </c>
      <c r="B4" s="92"/>
      <c r="C4" s="198" t="s">
        <v>136</v>
      </c>
      <c r="D4" s="199"/>
      <c r="E4" s="199"/>
      <c r="F4" s="199"/>
      <c r="G4" s="200"/>
    </row>
    <row r="5" spans="1:7" s="6" customFormat="1" ht="63" x14ac:dyDescent="0.25">
      <c r="A5" s="197"/>
      <c r="B5" s="46" t="s">
        <v>139</v>
      </c>
      <c r="C5" s="46" t="s">
        <v>130</v>
      </c>
      <c r="D5" s="93" t="s">
        <v>135</v>
      </c>
      <c r="E5" s="93" t="s">
        <v>134</v>
      </c>
      <c r="F5" s="46" t="s">
        <v>133</v>
      </c>
      <c r="G5" s="46" t="s">
        <v>0</v>
      </c>
    </row>
    <row r="6" spans="1:7" x14ac:dyDescent="0.25">
      <c r="A6" s="36">
        <v>1</v>
      </c>
      <c r="B6" s="37" t="s">
        <v>2</v>
      </c>
      <c r="C6" s="36">
        <v>131</v>
      </c>
      <c r="D6" s="36">
        <v>149</v>
      </c>
      <c r="E6" s="36">
        <v>358</v>
      </c>
      <c r="F6" s="36">
        <v>260</v>
      </c>
      <c r="G6" s="36">
        <f>SUM(C6:F6)</f>
        <v>898</v>
      </c>
    </row>
    <row r="7" spans="1:7" ht="47.25" x14ac:dyDescent="0.25">
      <c r="A7" s="36">
        <v>2</v>
      </c>
      <c r="B7" s="37" t="s">
        <v>132</v>
      </c>
      <c r="C7" s="36">
        <v>758</v>
      </c>
      <c r="D7" s="36">
        <v>772</v>
      </c>
      <c r="E7" s="36">
        <v>664</v>
      </c>
      <c r="F7" s="36">
        <v>504</v>
      </c>
      <c r="G7" s="36">
        <f>SUM(C7:F7)</f>
        <v>2698</v>
      </c>
    </row>
    <row r="8" spans="1:7" ht="31.5" x14ac:dyDescent="0.25">
      <c r="A8" s="36">
        <v>3</v>
      </c>
      <c r="B8" s="37" t="s">
        <v>131</v>
      </c>
      <c r="C8" s="36">
        <v>76</v>
      </c>
      <c r="D8" s="36">
        <v>10</v>
      </c>
      <c r="E8" s="36">
        <v>27</v>
      </c>
      <c r="F8" s="36">
        <v>225</v>
      </c>
      <c r="G8" s="36">
        <f t="shared" ref="G8" si="0">SUM(C8:F8)</f>
        <v>338</v>
      </c>
    </row>
    <row r="9" spans="1:7" x14ac:dyDescent="0.25">
      <c r="A9" s="201" t="s">
        <v>40</v>
      </c>
      <c r="B9" s="202"/>
      <c r="C9" s="46">
        <f>SUM(C6:C8)</f>
        <v>965</v>
      </c>
      <c r="D9" s="46">
        <f>SUM(D6:D8)</f>
        <v>931</v>
      </c>
      <c r="E9" s="46">
        <f>SUM(E6:E8)</f>
        <v>1049</v>
      </c>
      <c r="F9" s="46">
        <f>SUM(F6:F8)</f>
        <v>989</v>
      </c>
      <c r="G9" s="91">
        <f>SUM(C9:F9)</f>
        <v>3934</v>
      </c>
    </row>
    <row r="11" spans="1:7" x14ac:dyDescent="0.25">
      <c r="A11" s="187" t="s">
        <v>214</v>
      </c>
      <c r="B11" s="187"/>
      <c r="C11" s="187"/>
      <c r="D11" s="187"/>
    </row>
  </sheetData>
  <mergeCells count="6">
    <mergeCell ref="A11:D11"/>
    <mergeCell ref="A1:G1"/>
    <mergeCell ref="A2:G2"/>
    <mergeCell ref="A4:A5"/>
    <mergeCell ref="C4:G4"/>
    <mergeCell ref="A9:B9"/>
  </mergeCells>
  <pageMargins left="2.0078740157480315" right="0.70866141732283472" top="0.74803149606299213" bottom="0.6692913385826772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J20"/>
  <sheetViews>
    <sheetView zoomScale="75" zoomScaleNormal="75" workbookViewId="0">
      <selection activeCell="A3" sqref="A3:J3"/>
    </sheetView>
  </sheetViews>
  <sheetFormatPr defaultColWidth="8.85546875" defaultRowHeight="15.75" x14ac:dyDescent="0.25"/>
  <cols>
    <col min="1" max="1" width="19.5703125" style="3" customWidth="1"/>
    <col min="2" max="10" width="13" style="3" customWidth="1"/>
    <col min="11" max="11" width="2.42578125" style="3" customWidth="1"/>
    <col min="12" max="16384" width="8.85546875" style="3"/>
  </cols>
  <sheetData>
    <row r="2" spans="1:10" s="7" customFormat="1" x14ac:dyDescent="0.25">
      <c r="A2" s="194" t="s">
        <v>96</v>
      </c>
      <c r="B2" s="194"/>
      <c r="C2" s="194"/>
      <c r="D2" s="194"/>
      <c r="E2" s="194"/>
      <c r="F2" s="194"/>
      <c r="G2" s="194"/>
      <c r="H2" s="194"/>
      <c r="I2" s="194"/>
      <c r="J2" s="194"/>
    </row>
    <row r="3" spans="1:10" s="7" customFormat="1" x14ac:dyDescent="0.25">
      <c r="A3" s="194" t="s">
        <v>231</v>
      </c>
      <c r="B3" s="194"/>
      <c r="C3" s="194"/>
      <c r="D3" s="194"/>
      <c r="E3" s="194"/>
      <c r="F3" s="194"/>
      <c r="G3" s="194"/>
      <c r="H3" s="194"/>
      <c r="I3" s="194"/>
      <c r="J3" s="194"/>
    </row>
    <row r="5" spans="1:10" s="66" customFormat="1" x14ac:dyDescent="0.25">
      <c r="A5" s="189" t="s">
        <v>97</v>
      </c>
      <c r="B5" s="191" t="s">
        <v>84</v>
      </c>
      <c r="C5" s="192"/>
      <c r="D5" s="193"/>
      <c r="E5" s="191" t="s">
        <v>1</v>
      </c>
      <c r="F5" s="192"/>
      <c r="G5" s="193"/>
      <c r="H5" s="191" t="s">
        <v>0</v>
      </c>
      <c r="I5" s="192"/>
      <c r="J5" s="193"/>
    </row>
    <row r="6" spans="1:10" s="66" customFormat="1" x14ac:dyDescent="0.25">
      <c r="A6" s="190"/>
      <c r="B6" s="29" t="s">
        <v>28</v>
      </c>
      <c r="C6" s="29" t="s">
        <v>27</v>
      </c>
      <c r="D6" s="29" t="s">
        <v>0</v>
      </c>
      <c r="E6" s="29" t="s">
        <v>28</v>
      </c>
      <c r="F6" s="29" t="s">
        <v>27</v>
      </c>
      <c r="G6" s="29" t="s">
        <v>0</v>
      </c>
      <c r="H6" s="29" t="s">
        <v>28</v>
      </c>
      <c r="I6" s="29" t="s">
        <v>27</v>
      </c>
      <c r="J6" s="29" t="s">
        <v>0</v>
      </c>
    </row>
    <row r="7" spans="1:10" x14ac:dyDescent="0.25">
      <c r="A7" s="27" t="s">
        <v>98</v>
      </c>
      <c r="B7" s="31">
        <v>3</v>
      </c>
      <c r="C7" s="31">
        <v>1</v>
      </c>
      <c r="D7" s="31">
        <f>SUM(B7:C7)</f>
        <v>4</v>
      </c>
      <c r="E7" s="31">
        <v>0</v>
      </c>
      <c r="F7" s="31">
        <v>2</v>
      </c>
      <c r="G7" s="31">
        <f t="shared" ref="G7:G18" si="0">SUM(E7:F7)</f>
        <v>2</v>
      </c>
      <c r="H7" s="31">
        <f>B7+E7</f>
        <v>3</v>
      </c>
      <c r="I7" s="31">
        <f t="shared" ref="I7" si="1">C7+F7</f>
        <v>3</v>
      </c>
      <c r="J7" s="31">
        <f>D7+G7</f>
        <v>6</v>
      </c>
    </row>
    <row r="8" spans="1:10" x14ac:dyDescent="0.25">
      <c r="A8" s="27" t="s">
        <v>99</v>
      </c>
      <c r="B8" s="31">
        <v>3</v>
      </c>
      <c r="C8" s="31">
        <v>0</v>
      </c>
      <c r="D8" s="31">
        <f t="shared" ref="D8:D18" si="2">SUM(B8:C8)</f>
        <v>3</v>
      </c>
      <c r="E8" s="31">
        <v>2</v>
      </c>
      <c r="F8" s="31">
        <v>1</v>
      </c>
      <c r="G8" s="31">
        <f t="shared" si="0"/>
        <v>3</v>
      </c>
      <c r="H8" s="31">
        <f t="shared" ref="H8:H17" si="3">B8+E8</f>
        <v>5</v>
      </c>
      <c r="I8" s="31">
        <f t="shared" ref="I8:I17" si="4">C8+F8</f>
        <v>1</v>
      </c>
      <c r="J8" s="31">
        <f t="shared" ref="J8:J17" si="5">D8+G8</f>
        <v>6</v>
      </c>
    </row>
    <row r="9" spans="1:10" x14ac:dyDescent="0.25">
      <c r="A9" s="27" t="s">
        <v>100</v>
      </c>
      <c r="B9" s="31">
        <v>4</v>
      </c>
      <c r="C9" s="31">
        <v>1</v>
      </c>
      <c r="D9" s="31">
        <f t="shared" si="2"/>
        <v>5</v>
      </c>
      <c r="E9" s="31">
        <v>12</v>
      </c>
      <c r="F9" s="31">
        <v>8</v>
      </c>
      <c r="G9" s="31">
        <f t="shared" si="0"/>
        <v>20</v>
      </c>
      <c r="H9" s="31">
        <f t="shared" si="3"/>
        <v>16</v>
      </c>
      <c r="I9" s="31">
        <f t="shared" si="4"/>
        <v>9</v>
      </c>
      <c r="J9" s="31">
        <f t="shared" si="5"/>
        <v>25</v>
      </c>
    </row>
    <row r="10" spans="1:10" ht="13.9" customHeight="1" x14ac:dyDescent="0.25">
      <c r="A10" s="27" t="s">
        <v>101</v>
      </c>
      <c r="B10" s="31">
        <v>6</v>
      </c>
      <c r="C10" s="31">
        <v>7</v>
      </c>
      <c r="D10" s="31">
        <f t="shared" si="2"/>
        <v>13</v>
      </c>
      <c r="E10" s="31">
        <v>32</v>
      </c>
      <c r="F10" s="31">
        <v>18</v>
      </c>
      <c r="G10" s="31">
        <f t="shared" si="0"/>
        <v>50</v>
      </c>
      <c r="H10" s="31">
        <f t="shared" si="3"/>
        <v>38</v>
      </c>
      <c r="I10" s="31">
        <f t="shared" si="4"/>
        <v>25</v>
      </c>
      <c r="J10" s="31">
        <f t="shared" si="5"/>
        <v>63</v>
      </c>
    </row>
    <row r="11" spans="1:10" x14ac:dyDescent="0.25">
      <c r="A11" s="27" t="s">
        <v>102</v>
      </c>
      <c r="B11" s="31">
        <v>33</v>
      </c>
      <c r="C11" s="31">
        <v>13</v>
      </c>
      <c r="D11" s="31">
        <f t="shared" si="2"/>
        <v>46</v>
      </c>
      <c r="E11" s="31">
        <v>158</v>
      </c>
      <c r="F11" s="31">
        <v>64</v>
      </c>
      <c r="G11" s="31">
        <f t="shared" si="0"/>
        <v>222</v>
      </c>
      <c r="H11" s="31">
        <f t="shared" si="3"/>
        <v>191</v>
      </c>
      <c r="I11" s="31">
        <f t="shared" si="4"/>
        <v>77</v>
      </c>
      <c r="J11" s="31">
        <f t="shared" si="5"/>
        <v>268</v>
      </c>
    </row>
    <row r="12" spans="1:10" x14ac:dyDescent="0.25">
      <c r="A12" s="27" t="s">
        <v>103</v>
      </c>
      <c r="B12" s="31">
        <v>75</v>
      </c>
      <c r="C12" s="31">
        <v>27</v>
      </c>
      <c r="D12" s="31">
        <f t="shared" si="2"/>
        <v>102</v>
      </c>
      <c r="E12" s="31">
        <v>373</v>
      </c>
      <c r="F12" s="31">
        <v>138</v>
      </c>
      <c r="G12" s="31">
        <f t="shared" si="0"/>
        <v>511</v>
      </c>
      <c r="H12" s="31">
        <f t="shared" si="3"/>
        <v>448</v>
      </c>
      <c r="I12" s="31">
        <f t="shared" si="4"/>
        <v>165</v>
      </c>
      <c r="J12" s="31">
        <f t="shared" si="5"/>
        <v>613</v>
      </c>
    </row>
    <row r="13" spans="1:10" x14ac:dyDescent="0.25">
      <c r="A13" s="27" t="s">
        <v>104</v>
      </c>
      <c r="B13" s="31">
        <v>62</v>
      </c>
      <c r="C13" s="31">
        <v>34</v>
      </c>
      <c r="D13" s="31">
        <f t="shared" si="2"/>
        <v>96</v>
      </c>
      <c r="E13" s="31">
        <v>401</v>
      </c>
      <c r="F13" s="31">
        <v>161</v>
      </c>
      <c r="G13" s="31">
        <f t="shared" si="0"/>
        <v>562</v>
      </c>
      <c r="H13" s="31">
        <f t="shared" si="3"/>
        <v>463</v>
      </c>
      <c r="I13" s="31">
        <f t="shared" si="4"/>
        <v>195</v>
      </c>
      <c r="J13" s="31">
        <f t="shared" si="5"/>
        <v>658</v>
      </c>
    </row>
    <row r="14" spans="1:10" x14ac:dyDescent="0.25">
      <c r="A14" s="27" t="s">
        <v>105</v>
      </c>
      <c r="B14" s="31">
        <v>77</v>
      </c>
      <c r="C14" s="31">
        <v>44</v>
      </c>
      <c r="D14" s="31">
        <f t="shared" si="2"/>
        <v>121</v>
      </c>
      <c r="E14" s="31">
        <v>448</v>
      </c>
      <c r="F14" s="31">
        <v>149</v>
      </c>
      <c r="G14" s="31">
        <f t="shared" si="0"/>
        <v>597</v>
      </c>
      <c r="H14" s="31">
        <f t="shared" si="3"/>
        <v>525</v>
      </c>
      <c r="I14" s="31">
        <f t="shared" si="4"/>
        <v>193</v>
      </c>
      <c r="J14" s="31">
        <f t="shared" si="5"/>
        <v>718</v>
      </c>
    </row>
    <row r="15" spans="1:10" x14ac:dyDescent="0.25">
      <c r="A15" s="27" t="s">
        <v>106</v>
      </c>
      <c r="B15" s="31">
        <v>56</v>
      </c>
      <c r="C15" s="31">
        <v>28</v>
      </c>
      <c r="D15" s="31">
        <f t="shared" si="2"/>
        <v>84</v>
      </c>
      <c r="E15" s="31">
        <v>166</v>
      </c>
      <c r="F15" s="31">
        <v>91</v>
      </c>
      <c r="G15" s="31">
        <f t="shared" si="0"/>
        <v>257</v>
      </c>
      <c r="H15" s="31">
        <f t="shared" si="3"/>
        <v>222</v>
      </c>
      <c r="I15" s="31">
        <f t="shared" si="4"/>
        <v>119</v>
      </c>
      <c r="J15" s="31">
        <f t="shared" si="5"/>
        <v>341</v>
      </c>
    </row>
    <row r="16" spans="1:10" x14ac:dyDescent="0.25">
      <c r="A16" s="27" t="s">
        <v>107</v>
      </c>
      <c r="B16" s="31">
        <v>202</v>
      </c>
      <c r="C16" s="31">
        <v>120</v>
      </c>
      <c r="D16" s="31">
        <f>SUM(B16:C16)</f>
        <v>322</v>
      </c>
      <c r="E16" s="31">
        <v>452</v>
      </c>
      <c r="F16" s="31">
        <v>244</v>
      </c>
      <c r="G16" s="31">
        <f t="shared" si="0"/>
        <v>696</v>
      </c>
      <c r="H16" s="31">
        <f t="shared" si="3"/>
        <v>654</v>
      </c>
      <c r="I16" s="31">
        <f t="shared" si="4"/>
        <v>364</v>
      </c>
      <c r="J16" s="31">
        <f t="shared" si="5"/>
        <v>1018</v>
      </c>
    </row>
    <row r="17" spans="1:10" x14ac:dyDescent="0.25">
      <c r="A17" s="27" t="s">
        <v>108</v>
      </c>
      <c r="B17" s="31">
        <v>76</v>
      </c>
      <c r="C17" s="31">
        <v>26</v>
      </c>
      <c r="D17" s="31">
        <f t="shared" si="2"/>
        <v>102</v>
      </c>
      <c r="E17" s="31">
        <v>86</v>
      </c>
      <c r="F17" s="31">
        <v>30</v>
      </c>
      <c r="G17" s="31">
        <f t="shared" si="0"/>
        <v>116</v>
      </c>
      <c r="H17" s="31">
        <f t="shared" si="3"/>
        <v>162</v>
      </c>
      <c r="I17" s="31">
        <f t="shared" si="4"/>
        <v>56</v>
      </c>
      <c r="J17" s="31">
        <f t="shared" si="5"/>
        <v>218</v>
      </c>
    </row>
    <row r="18" spans="1:10" x14ac:dyDescent="0.25">
      <c r="A18" s="27" t="s">
        <v>109</v>
      </c>
      <c r="B18" s="30">
        <f>SUM(B7:B17)</f>
        <v>597</v>
      </c>
      <c r="C18" s="30">
        <f>SUM(C7:C17)</f>
        <v>301</v>
      </c>
      <c r="D18" s="47">
        <f t="shared" si="2"/>
        <v>898</v>
      </c>
      <c r="E18" s="30">
        <f>SUM(E7:E17)</f>
        <v>2130</v>
      </c>
      <c r="F18" s="30">
        <f>SUM(F7:F17)</f>
        <v>906</v>
      </c>
      <c r="G18" s="47">
        <f t="shared" si="0"/>
        <v>3036</v>
      </c>
      <c r="H18" s="47">
        <f t="shared" ref="H18" si="6">B18+E18</f>
        <v>2727</v>
      </c>
      <c r="I18" s="47">
        <f t="shared" ref="I18" si="7">C18+F18</f>
        <v>1207</v>
      </c>
      <c r="J18" s="29">
        <f>SUM(H18:I18)</f>
        <v>3934</v>
      </c>
    </row>
    <row r="20" spans="1:10" x14ac:dyDescent="0.25">
      <c r="A20" s="187" t="s">
        <v>214</v>
      </c>
      <c r="B20" s="187"/>
      <c r="C20" s="187"/>
      <c r="D20" s="187"/>
    </row>
  </sheetData>
  <mergeCells count="7">
    <mergeCell ref="A20:D20"/>
    <mergeCell ref="A2:J2"/>
    <mergeCell ref="A3:J3"/>
    <mergeCell ref="A5:A6"/>
    <mergeCell ref="B5:D5"/>
    <mergeCell ref="E5:G5"/>
    <mergeCell ref="H5:J5"/>
  </mergeCells>
  <pageMargins left="0.63" right="0.15" top="0.41" bottom="0.35" header="0.3" footer="0.3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L19"/>
  <sheetViews>
    <sheetView workbookViewId="0">
      <selection activeCell="A2" sqref="A2:L2"/>
    </sheetView>
  </sheetViews>
  <sheetFormatPr defaultColWidth="9.140625" defaultRowHeight="15.75" x14ac:dyDescent="0.25"/>
  <cols>
    <col min="1" max="1" width="9.140625" style="3"/>
    <col min="2" max="2" width="15" style="3" customWidth="1"/>
    <col min="3" max="3" width="11.5703125" style="3" customWidth="1"/>
    <col min="4" max="12" width="11.140625" style="3" customWidth="1"/>
    <col min="13" max="16384" width="9.140625" style="3"/>
  </cols>
  <sheetData>
    <row r="1" spans="1:12" s="7" customFormat="1" x14ac:dyDescent="0.25">
      <c r="A1" s="194" t="s">
        <v>241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</row>
    <row r="2" spans="1:12" s="7" customFormat="1" x14ac:dyDescent="0.25">
      <c r="A2" s="194" t="s">
        <v>220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</row>
    <row r="3" spans="1:12" s="7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s="7" customFormat="1" x14ac:dyDescent="0.25">
      <c r="A4" s="204" t="s">
        <v>25</v>
      </c>
      <c r="B4" s="205" t="s">
        <v>24</v>
      </c>
      <c r="C4" s="178" t="s">
        <v>34</v>
      </c>
      <c r="D4" s="178"/>
      <c r="E4" s="178" t="s">
        <v>35</v>
      </c>
      <c r="F4" s="178"/>
      <c r="G4" s="178" t="s">
        <v>36</v>
      </c>
      <c r="H4" s="178"/>
      <c r="I4" s="178" t="s">
        <v>37</v>
      </c>
      <c r="J4" s="178"/>
      <c r="K4" s="178" t="s">
        <v>38</v>
      </c>
      <c r="L4" s="178"/>
    </row>
    <row r="5" spans="1:12" s="7" customFormat="1" ht="31.5" x14ac:dyDescent="0.25">
      <c r="A5" s="204"/>
      <c r="B5" s="205"/>
      <c r="C5" s="97" t="s">
        <v>39</v>
      </c>
      <c r="D5" s="45" t="s">
        <v>21</v>
      </c>
      <c r="E5" s="97" t="s">
        <v>39</v>
      </c>
      <c r="F5" s="45" t="s">
        <v>21</v>
      </c>
      <c r="G5" s="97" t="s">
        <v>39</v>
      </c>
      <c r="H5" s="45" t="s">
        <v>21</v>
      </c>
      <c r="I5" s="97" t="s">
        <v>39</v>
      </c>
      <c r="J5" s="45" t="s">
        <v>21</v>
      </c>
      <c r="K5" s="97" t="s">
        <v>39</v>
      </c>
      <c r="L5" s="45" t="s">
        <v>21</v>
      </c>
    </row>
    <row r="6" spans="1:12" s="7" customFormat="1" ht="19.5" customHeight="1" x14ac:dyDescent="0.25">
      <c r="A6" s="64">
        <v>1</v>
      </c>
      <c r="B6" s="64" t="s">
        <v>14</v>
      </c>
      <c r="C6" s="5">
        <v>4601</v>
      </c>
      <c r="D6" s="64">
        <v>563</v>
      </c>
      <c r="E6" s="64">
        <v>359</v>
      </c>
      <c r="F6" s="64">
        <v>31</v>
      </c>
      <c r="G6" s="64">
        <v>119</v>
      </c>
      <c r="H6" s="64">
        <v>2</v>
      </c>
      <c r="I6" s="64">
        <v>12</v>
      </c>
      <c r="J6" s="64">
        <v>0</v>
      </c>
      <c r="K6" s="64">
        <f>C6+E6+G6+I6</f>
        <v>5091</v>
      </c>
      <c r="L6" s="64">
        <f>D6+F6+H6+J6</f>
        <v>596</v>
      </c>
    </row>
    <row r="7" spans="1:12" s="96" customFormat="1" ht="19.5" customHeight="1" x14ac:dyDescent="0.25">
      <c r="A7" s="64">
        <v>2</v>
      </c>
      <c r="B7" s="64" t="s">
        <v>13</v>
      </c>
      <c r="C7" s="64">
        <v>4017</v>
      </c>
      <c r="D7" s="64">
        <v>193</v>
      </c>
      <c r="E7" s="64">
        <v>34</v>
      </c>
      <c r="F7" s="64">
        <v>3</v>
      </c>
      <c r="G7" s="64">
        <v>3</v>
      </c>
      <c r="H7" s="98">
        <v>0</v>
      </c>
      <c r="I7" s="63">
        <v>0</v>
      </c>
      <c r="J7" s="2">
        <v>0</v>
      </c>
      <c r="K7" s="64">
        <f t="shared" ref="K7:K16" si="0">C7+E7+G7+I7</f>
        <v>4054</v>
      </c>
      <c r="L7" s="64">
        <f t="shared" ref="L7:L16" si="1">D7+F7+H7+J7</f>
        <v>196</v>
      </c>
    </row>
    <row r="8" spans="1:12" s="96" customFormat="1" ht="19.5" customHeight="1" x14ac:dyDescent="0.25">
      <c r="A8" s="64">
        <v>3</v>
      </c>
      <c r="B8" s="64" t="s">
        <v>12</v>
      </c>
      <c r="C8" s="64">
        <v>3069</v>
      </c>
      <c r="D8" s="64">
        <v>460</v>
      </c>
      <c r="E8" s="64">
        <v>160</v>
      </c>
      <c r="F8" s="64">
        <v>6</v>
      </c>
      <c r="G8" s="64">
        <v>20</v>
      </c>
      <c r="H8" s="98">
        <v>0</v>
      </c>
      <c r="I8" s="63">
        <v>0</v>
      </c>
      <c r="J8" s="2">
        <v>2</v>
      </c>
      <c r="K8" s="64">
        <f t="shared" si="0"/>
        <v>3249</v>
      </c>
      <c r="L8" s="64">
        <f t="shared" si="1"/>
        <v>468</v>
      </c>
    </row>
    <row r="9" spans="1:12" s="96" customFormat="1" ht="19.5" customHeight="1" x14ac:dyDescent="0.25">
      <c r="A9" s="64">
        <v>4</v>
      </c>
      <c r="B9" s="64" t="s">
        <v>11</v>
      </c>
      <c r="C9" s="7">
        <v>1352</v>
      </c>
      <c r="D9" s="64">
        <v>57</v>
      </c>
      <c r="E9" s="64">
        <v>22</v>
      </c>
      <c r="F9" s="64">
        <v>1</v>
      </c>
      <c r="G9" s="64">
        <v>2</v>
      </c>
      <c r="H9" s="98">
        <v>0</v>
      </c>
      <c r="I9" s="63">
        <v>0</v>
      </c>
      <c r="J9" s="2">
        <v>0</v>
      </c>
      <c r="K9" s="64">
        <f t="shared" si="0"/>
        <v>1376</v>
      </c>
      <c r="L9" s="64">
        <f t="shared" si="1"/>
        <v>58</v>
      </c>
    </row>
    <row r="10" spans="1:12" s="96" customFormat="1" ht="19.5" customHeight="1" x14ac:dyDescent="0.25">
      <c r="A10" s="64">
        <v>5</v>
      </c>
      <c r="B10" s="64" t="s">
        <v>10</v>
      </c>
      <c r="C10" s="64">
        <v>4241</v>
      </c>
      <c r="D10" s="64">
        <v>238</v>
      </c>
      <c r="E10" s="64">
        <v>18</v>
      </c>
      <c r="F10" s="64">
        <v>2</v>
      </c>
      <c r="G10" s="64">
        <v>6</v>
      </c>
      <c r="H10" s="98">
        <v>0</v>
      </c>
      <c r="I10" s="63">
        <v>0</v>
      </c>
      <c r="J10" s="2">
        <v>0</v>
      </c>
      <c r="K10" s="64">
        <f t="shared" si="0"/>
        <v>4265</v>
      </c>
      <c r="L10" s="64">
        <f t="shared" si="1"/>
        <v>240</v>
      </c>
    </row>
    <row r="11" spans="1:12" s="96" customFormat="1" ht="19.5" customHeight="1" x14ac:dyDescent="0.25">
      <c r="A11" s="64">
        <v>6</v>
      </c>
      <c r="B11" s="64" t="s">
        <v>9</v>
      </c>
      <c r="C11" s="64">
        <v>9224</v>
      </c>
      <c r="D11" s="64">
        <v>221</v>
      </c>
      <c r="E11" s="64">
        <v>8</v>
      </c>
      <c r="F11" s="64">
        <v>4</v>
      </c>
      <c r="G11" s="64">
        <v>18</v>
      </c>
      <c r="H11" s="98">
        <v>0</v>
      </c>
      <c r="I11" s="63">
        <v>0</v>
      </c>
      <c r="J11" s="2">
        <v>0</v>
      </c>
      <c r="K11" s="64">
        <f t="shared" si="0"/>
        <v>9250</v>
      </c>
      <c r="L11" s="64">
        <f t="shared" si="1"/>
        <v>225</v>
      </c>
    </row>
    <row r="12" spans="1:12" s="96" customFormat="1" ht="19.5" customHeight="1" x14ac:dyDescent="0.25">
      <c r="A12" s="64">
        <v>7</v>
      </c>
      <c r="B12" s="64" t="s">
        <v>8</v>
      </c>
      <c r="C12" s="64">
        <v>12811</v>
      </c>
      <c r="D12" s="64">
        <v>195</v>
      </c>
      <c r="E12" s="64">
        <v>45</v>
      </c>
      <c r="F12" s="64">
        <v>3</v>
      </c>
      <c r="G12" s="64">
        <v>9</v>
      </c>
      <c r="H12" s="98">
        <v>0</v>
      </c>
      <c r="I12" s="63">
        <v>0</v>
      </c>
      <c r="J12" s="2">
        <v>0</v>
      </c>
      <c r="K12" s="64">
        <f t="shared" si="0"/>
        <v>12865</v>
      </c>
      <c r="L12" s="64">
        <f t="shared" si="1"/>
        <v>198</v>
      </c>
    </row>
    <row r="13" spans="1:12" s="96" customFormat="1" ht="19.5" customHeight="1" x14ac:dyDescent="0.25">
      <c r="A13" s="64">
        <v>8</v>
      </c>
      <c r="B13" s="64" t="s">
        <v>7</v>
      </c>
      <c r="C13" s="64">
        <v>16006</v>
      </c>
      <c r="D13" s="64">
        <v>1257</v>
      </c>
      <c r="E13" s="64">
        <v>4051</v>
      </c>
      <c r="F13" s="64">
        <v>452</v>
      </c>
      <c r="G13" s="64">
        <v>1644</v>
      </c>
      <c r="H13" s="98">
        <v>50</v>
      </c>
      <c r="I13" s="63">
        <v>87</v>
      </c>
      <c r="J13" s="2">
        <v>17</v>
      </c>
      <c r="K13" s="64">
        <f t="shared" si="0"/>
        <v>21788</v>
      </c>
      <c r="L13" s="64">
        <f t="shared" si="1"/>
        <v>1776</v>
      </c>
    </row>
    <row r="14" spans="1:12" s="96" customFormat="1" ht="19.5" customHeight="1" x14ac:dyDescent="0.25">
      <c r="A14" s="64">
        <v>9</v>
      </c>
      <c r="B14" s="99" t="s">
        <v>6</v>
      </c>
      <c r="C14" s="100">
        <v>2004</v>
      </c>
      <c r="D14" s="100">
        <v>28</v>
      </c>
      <c r="E14" s="100">
        <v>52</v>
      </c>
      <c r="F14" s="100">
        <v>0</v>
      </c>
      <c r="G14" s="100">
        <v>92</v>
      </c>
      <c r="H14" s="98">
        <v>0</v>
      </c>
      <c r="I14" s="63">
        <v>42</v>
      </c>
      <c r="J14" s="99">
        <v>0</v>
      </c>
      <c r="K14" s="64">
        <f t="shared" si="0"/>
        <v>2190</v>
      </c>
      <c r="L14" s="64">
        <f t="shared" si="1"/>
        <v>28</v>
      </c>
    </row>
    <row r="15" spans="1:12" s="96" customFormat="1" ht="19.5" customHeight="1" x14ac:dyDescent="0.25">
      <c r="A15" s="64">
        <v>10</v>
      </c>
      <c r="B15" s="99" t="s">
        <v>5</v>
      </c>
      <c r="C15" s="64">
        <v>598</v>
      </c>
      <c r="D15" s="100">
        <v>114</v>
      </c>
      <c r="E15" s="100">
        <v>2</v>
      </c>
      <c r="F15" s="100">
        <v>1</v>
      </c>
      <c r="G15" s="100">
        <v>2</v>
      </c>
      <c r="H15" s="64">
        <v>0</v>
      </c>
      <c r="I15" s="64">
        <v>0</v>
      </c>
      <c r="J15" s="64">
        <v>0</v>
      </c>
      <c r="K15" s="64">
        <f t="shared" si="0"/>
        <v>602</v>
      </c>
      <c r="L15" s="64">
        <f t="shared" si="1"/>
        <v>115</v>
      </c>
    </row>
    <row r="16" spans="1:12" s="96" customFormat="1" ht="19.5" customHeight="1" x14ac:dyDescent="0.25">
      <c r="A16" s="64">
        <v>11</v>
      </c>
      <c r="B16" s="99" t="s">
        <v>4</v>
      </c>
      <c r="C16" s="100">
        <v>834</v>
      </c>
      <c r="D16" s="100">
        <v>32</v>
      </c>
      <c r="E16" s="100">
        <v>5</v>
      </c>
      <c r="F16" s="100">
        <v>2</v>
      </c>
      <c r="G16" s="100">
        <v>0</v>
      </c>
      <c r="H16" s="101">
        <v>0</v>
      </c>
      <c r="I16" s="63">
        <v>0</v>
      </c>
      <c r="J16" s="99">
        <v>0</v>
      </c>
      <c r="K16" s="64">
        <f t="shared" si="0"/>
        <v>839</v>
      </c>
      <c r="L16" s="64">
        <f t="shared" si="1"/>
        <v>34</v>
      </c>
    </row>
    <row r="17" spans="1:12" s="7" customFormat="1" ht="19.5" customHeight="1" x14ac:dyDescent="0.25">
      <c r="A17" s="203" t="s">
        <v>40</v>
      </c>
      <c r="B17" s="203"/>
      <c r="C17" s="84">
        <f t="shared" ref="C17:L17" si="2">SUM(C6:C16)</f>
        <v>58757</v>
      </c>
      <c r="D17" s="84">
        <f t="shared" si="2"/>
        <v>3358</v>
      </c>
      <c r="E17" s="84">
        <f t="shared" si="2"/>
        <v>4756</v>
      </c>
      <c r="F17" s="84">
        <f t="shared" si="2"/>
        <v>505</v>
      </c>
      <c r="G17" s="84">
        <f t="shared" si="2"/>
        <v>1915</v>
      </c>
      <c r="H17" s="84">
        <f t="shared" si="2"/>
        <v>52</v>
      </c>
      <c r="I17" s="84">
        <f t="shared" si="2"/>
        <v>141</v>
      </c>
      <c r="J17" s="84">
        <f t="shared" si="2"/>
        <v>19</v>
      </c>
      <c r="K17" s="84">
        <f t="shared" si="2"/>
        <v>65569</v>
      </c>
      <c r="L17" s="45">
        <f t="shared" si="2"/>
        <v>3934</v>
      </c>
    </row>
    <row r="18" spans="1:12" s="7" customFormat="1" x14ac:dyDescent="0.25">
      <c r="K18" s="5"/>
      <c r="L18" s="5"/>
    </row>
    <row r="19" spans="1:12" x14ac:dyDescent="0.25">
      <c r="A19" s="66" t="s">
        <v>214</v>
      </c>
    </row>
  </sheetData>
  <mergeCells count="10">
    <mergeCell ref="A17:B17"/>
    <mergeCell ref="A1:L1"/>
    <mergeCell ref="A2:L2"/>
    <mergeCell ref="A4:A5"/>
    <mergeCell ref="B4:B5"/>
    <mergeCell ref="C4:D4"/>
    <mergeCell ref="E4:F4"/>
    <mergeCell ref="G4:H4"/>
    <mergeCell ref="I4:J4"/>
    <mergeCell ref="K4:L4"/>
  </mergeCells>
  <pageMargins left="0.51" right="0.2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P22"/>
  <sheetViews>
    <sheetView zoomScale="90" zoomScaleNormal="90" workbookViewId="0">
      <selection activeCell="A2" sqref="A2:P2"/>
    </sheetView>
  </sheetViews>
  <sheetFormatPr defaultColWidth="9.140625" defaultRowHeight="15.75" x14ac:dyDescent="0.25"/>
  <cols>
    <col min="1" max="1" width="4.42578125" style="3" customWidth="1"/>
    <col min="2" max="2" width="11.28515625" style="60" customWidth="1"/>
    <col min="3" max="13" width="8.7109375" style="3" customWidth="1"/>
    <col min="14" max="14" width="8.140625" style="3" customWidth="1"/>
    <col min="15" max="15" width="10.85546875" style="3" customWidth="1"/>
    <col min="16" max="16" width="8.7109375" style="3" customWidth="1"/>
    <col min="17" max="16384" width="9.140625" style="3"/>
  </cols>
  <sheetData>
    <row r="1" spans="1:16" s="4" customFormat="1" x14ac:dyDescent="0.25">
      <c r="A1" s="194" t="s">
        <v>33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 s="4" customFormat="1" x14ac:dyDescent="0.25">
      <c r="A2" s="194" t="s">
        <v>222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5" spans="1:16" x14ac:dyDescent="0.25">
      <c r="A5" s="206" t="s">
        <v>111</v>
      </c>
      <c r="B5" s="214" t="s">
        <v>112</v>
      </c>
      <c r="C5" s="191" t="s">
        <v>113</v>
      </c>
      <c r="D5" s="192"/>
      <c r="E5" s="192"/>
      <c r="F5" s="193"/>
      <c r="G5" s="209" t="s">
        <v>21</v>
      </c>
      <c r="H5" s="209"/>
      <c r="I5" s="209"/>
      <c r="J5" s="209"/>
      <c r="K5" s="191" t="s">
        <v>20</v>
      </c>
      <c r="L5" s="192"/>
      <c r="M5" s="192"/>
      <c r="N5" s="193"/>
      <c r="O5" s="210" t="s">
        <v>0</v>
      </c>
      <c r="P5" s="211"/>
    </row>
    <row r="6" spans="1:16" x14ac:dyDescent="0.25">
      <c r="A6" s="207"/>
      <c r="B6" s="215"/>
      <c r="C6" s="191" t="s">
        <v>84</v>
      </c>
      <c r="D6" s="193"/>
      <c r="E6" s="191" t="s">
        <v>1</v>
      </c>
      <c r="F6" s="193"/>
      <c r="G6" s="191" t="s">
        <v>84</v>
      </c>
      <c r="H6" s="193"/>
      <c r="I6" s="191" t="s">
        <v>1</v>
      </c>
      <c r="J6" s="193"/>
      <c r="K6" s="191" t="s">
        <v>84</v>
      </c>
      <c r="L6" s="193"/>
      <c r="M6" s="191" t="s">
        <v>1</v>
      </c>
      <c r="N6" s="193"/>
      <c r="O6" s="212"/>
      <c r="P6" s="213"/>
    </row>
    <row r="7" spans="1:16" x14ac:dyDescent="0.25">
      <c r="A7" s="208"/>
      <c r="B7" s="216"/>
      <c r="C7" s="29" t="s">
        <v>17</v>
      </c>
      <c r="D7" s="29" t="s">
        <v>16</v>
      </c>
      <c r="E7" s="73" t="s">
        <v>17</v>
      </c>
      <c r="F7" s="29" t="s">
        <v>16</v>
      </c>
      <c r="G7" s="29" t="s">
        <v>17</v>
      </c>
      <c r="H7" s="29" t="s">
        <v>16</v>
      </c>
      <c r="I7" s="29" t="s">
        <v>17</v>
      </c>
      <c r="J7" s="29" t="s">
        <v>16</v>
      </c>
      <c r="K7" s="29" t="s">
        <v>17</v>
      </c>
      <c r="L7" s="29" t="s">
        <v>16</v>
      </c>
      <c r="M7" s="29" t="s">
        <v>17</v>
      </c>
      <c r="N7" s="29" t="s">
        <v>16</v>
      </c>
      <c r="O7" s="29" t="s">
        <v>17</v>
      </c>
      <c r="P7" s="29" t="s">
        <v>16</v>
      </c>
    </row>
    <row r="8" spans="1:16" x14ac:dyDescent="0.25">
      <c r="A8" s="27">
        <v>1</v>
      </c>
      <c r="B8" s="10" t="s">
        <v>114</v>
      </c>
      <c r="C8" s="36">
        <f>1959</f>
        <v>1959</v>
      </c>
      <c r="D8" s="36">
        <f>1893</f>
        <v>1893</v>
      </c>
      <c r="E8" s="36">
        <f>1444+80</f>
        <v>1524</v>
      </c>
      <c r="F8" s="36">
        <f>1321+69</f>
        <v>1390</v>
      </c>
      <c r="G8" s="36">
        <v>46</v>
      </c>
      <c r="H8" s="36">
        <v>17</v>
      </c>
      <c r="I8" s="36">
        <v>187</v>
      </c>
      <c r="J8" s="36">
        <v>72</v>
      </c>
      <c r="K8" s="36">
        <v>0</v>
      </c>
      <c r="L8" s="36">
        <v>0</v>
      </c>
      <c r="M8" s="36">
        <v>0</v>
      </c>
      <c r="N8" s="36">
        <v>1</v>
      </c>
      <c r="O8" s="36">
        <f>C8+E8+G8+I8+K8+M8</f>
        <v>3716</v>
      </c>
      <c r="P8" s="36">
        <f>D8+F8+H8+J8+L8+N8</f>
        <v>3373</v>
      </c>
    </row>
    <row r="9" spans="1:16" x14ac:dyDescent="0.25">
      <c r="A9" s="27">
        <v>2</v>
      </c>
      <c r="B9" s="10" t="s">
        <v>115</v>
      </c>
      <c r="C9" s="36">
        <f>1744</f>
        <v>1744</v>
      </c>
      <c r="D9" s="36">
        <v>1818</v>
      </c>
      <c r="E9" s="36">
        <f>1317+54</f>
        <v>1371</v>
      </c>
      <c r="F9" s="36">
        <f>1431+46</f>
        <v>1477</v>
      </c>
      <c r="G9" s="36">
        <v>36</v>
      </c>
      <c r="H9" s="36">
        <v>15</v>
      </c>
      <c r="I9" s="36">
        <v>111</v>
      </c>
      <c r="J9" s="36">
        <f>46+9</f>
        <v>55</v>
      </c>
      <c r="K9" s="36">
        <v>0</v>
      </c>
      <c r="L9" s="36">
        <v>0</v>
      </c>
      <c r="M9" s="36">
        <v>0</v>
      </c>
      <c r="N9" s="36">
        <v>0</v>
      </c>
      <c r="O9" s="36">
        <f t="shared" ref="O9:O19" si="0">C9+E9+G9+I9+K9+M9</f>
        <v>3262</v>
      </c>
      <c r="P9" s="36">
        <f t="shared" ref="P9:P19" si="1">D9+F9+H9+J9+L9+N9</f>
        <v>3365</v>
      </c>
    </row>
    <row r="10" spans="1:16" x14ac:dyDescent="0.25">
      <c r="A10" s="27">
        <v>3</v>
      </c>
      <c r="B10" s="10" t="s">
        <v>116</v>
      </c>
      <c r="C10" s="36">
        <f>1696</f>
        <v>1696</v>
      </c>
      <c r="D10" s="36">
        <v>1574</v>
      </c>
      <c r="E10" s="36">
        <f>1483+80</f>
        <v>1563</v>
      </c>
      <c r="F10" s="36">
        <f>1438+59</f>
        <v>1497</v>
      </c>
      <c r="G10" s="36">
        <v>58</v>
      </c>
      <c r="H10" s="36">
        <v>24</v>
      </c>
      <c r="I10" s="36">
        <v>215</v>
      </c>
      <c r="J10" s="36">
        <f>81+14</f>
        <v>95</v>
      </c>
      <c r="K10" s="36">
        <v>1</v>
      </c>
      <c r="L10" s="36">
        <v>0</v>
      </c>
      <c r="M10" s="36">
        <v>0</v>
      </c>
      <c r="N10" s="36">
        <v>0</v>
      </c>
      <c r="O10" s="36">
        <f t="shared" si="0"/>
        <v>3533</v>
      </c>
      <c r="P10" s="36">
        <f t="shared" si="1"/>
        <v>3190</v>
      </c>
    </row>
    <row r="11" spans="1:16" x14ac:dyDescent="0.25">
      <c r="A11" s="27">
        <v>4</v>
      </c>
      <c r="B11" s="10" t="s">
        <v>117</v>
      </c>
      <c r="C11" s="36">
        <f>2561</f>
        <v>2561</v>
      </c>
      <c r="D11" s="36">
        <f>2558</f>
        <v>2558</v>
      </c>
      <c r="E11" s="36">
        <f>1172+59</f>
        <v>1231</v>
      </c>
      <c r="F11" s="36">
        <f>1245+60</f>
        <v>1305</v>
      </c>
      <c r="G11" s="36">
        <v>48</v>
      </c>
      <c r="H11" s="46">
        <v>39</v>
      </c>
      <c r="I11" s="36">
        <v>164</v>
      </c>
      <c r="J11" s="36">
        <f>72+11</f>
        <v>83</v>
      </c>
      <c r="K11" s="36">
        <v>0</v>
      </c>
      <c r="L11" s="36">
        <v>0</v>
      </c>
      <c r="M11" s="36">
        <v>0</v>
      </c>
      <c r="N11" s="36">
        <v>0</v>
      </c>
      <c r="O11" s="36">
        <f t="shared" si="0"/>
        <v>4004</v>
      </c>
      <c r="P11" s="36">
        <f t="shared" si="1"/>
        <v>3985</v>
      </c>
    </row>
    <row r="12" spans="1:16" x14ac:dyDescent="0.25">
      <c r="A12" s="27">
        <v>5</v>
      </c>
      <c r="B12" s="10" t="s">
        <v>118</v>
      </c>
      <c r="C12" s="36">
        <f>1864</f>
        <v>1864</v>
      </c>
      <c r="D12" s="36">
        <f>1906</f>
        <v>1906</v>
      </c>
      <c r="E12" s="36">
        <f>1208+69</f>
        <v>1277</v>
      </c>
      <c r="F12" s="36">
        <f>1221+54</f>
        <v>1275</v>
      </c>
      <c r="G12" s="36">
        <v>62</v>
      </c>
      <c r="H12" s="36">
        <v>26</v>
      </c>
      <c r="I12" s="36">
        <v>192</v>
      </c>
      <c r="J12" s="36">
        <f>77+6</f>
        <v>83</v>
      </c>
      <c r="K12" s="36">
        <v>0</v>
      </c>
      <c r="L12" s="36">
        <v>0</v>
      </c>
      <c r="M12" s="36">
        <v>0</v>
      </c>
      <c r="N12" s="36">
        <v>0</v>
      </c>
      <c r="O12" s="36">
        <f t="shared" si="0"/>
        <v>3395</v>
      </c>
      <c r="P12" s="36">
        <f t="shared" si="1"/>
        <v>3290</v>
      </c>
    </row>
    <row r="13" spans="1:16" x14ac:dyDescent="0.25">
      <c r="A13" s="27">
        <v>6</v>
      </c>
      <c r="B13" s="10" t="s">
        <v>119</v>
      </c>
      <c r="C13" s="36">
        <f>1304</f>
        <v>1304</v>
      </c>
      <c r="D13" s="36">
        <f>1237</f>
        <v>1237</v>
      </c>
      <c r="E13" s="36">
        <f>1011+81</f>
        <v>1092</v>
      </c>
      <c r="F13" s="36">
        <f>1013+67</f>
        <v>1080</v>
      </c>
      <c r="G13" s="36">
        <v>64</v>
      </c>
      <c r="H13" s="36">
        <v>27</v>
      </c>
      <c r="I13" s="36">
        <v>172</v>
      </c>
      <c r="J13" s="36">
        <f>76+1</f>
        <v>77</v>
      </c>
      <c r="K13" s="36">
        <v>1</v>
      </c>
      <c r="L13" s="36">
        <v>1</v>
      </c>
      <c r="M13" s="36">
        <v>0</v>
      </c>
      <c r="N13" s="36">
        <v>0</v>
      </c>
      <c r="O13" s="36">
        <f t="shared" si="0"/>
        <v>2633</v>
      </c>
      <c r="P13" s="36">
        <f t="shared" si="1"/>
        <v>2422</v>
      </c>
    </row>
    <row r="14" spans="1:16" x14ac:dyDescent="0.25">
      <c r="A14" s="27">
        <v>7</v>
      </c>
      <c r="B14" s="10" t="s">
        <v>120</v>
      </c>
      <c r="C14" s="36">
        <f>1553</f>
        <v>1553</v>
      </c>
      <c r="D14" s="36">
        <f>1482</f>
        <v>1482</v>
      </c>
      <c r="E14" s="36">
        <f>1107+75</f>
        <v>1182</v>
      </c>
      <c r="F14" s="36">
        <f>1143+73</f>
        <v>1216</v>
      </c>
      <c r="G14" s="36">
        <v>63</v>
      </c>
      <c r="H14" s="36">
        <v>28</v>
      </c>
      <c r="I14" s="36">
        <v>164</v>
      </c>
      <c r="J14" s="36">
        <v>79</v>
      </c>
      <c r="K14" s="36">
        <v>0</v>
      </c>
      <c r="L14" s="36">
        <v>0</v>
      </c>
      <c r="M14" s="36">
        <v>0</v>
      </c>
      <c r="N14" s="36">
        <v>1</v>
      </c>
      <c r="O14" s="36">
        <f t="shared" si="0"/>
        <v>2962</v>
      </c>
      <c r="P14" s="36">
        <f t="shared" si="1"/>
        <v>2806</v>
      </c>
    </row>
    <row r="15" spans="1:16" x14ac:dyDescent="0.25">
      <c r="A15" s="27">
        <v>8</v>
      </c>
      <c r="B15" s="10" t="s">
        <v>121</v>
      </c>
      <c r="C15" s="36">
        <f>1576</f>
        <v>1576</v>
      </c>
      <c r="D15" s="36">
        <f>1511</f>
        <v>1511</v>
      </c>
      <c r="E15" s="36">
        <f>1180+83</f>
        <v>1263</v>
      </c>
      <c r="F15" s="36">
        <f>1270+90</f>
        <v>1360</v>
      </c>
      <c r="G15" s="36">
        <v>51</v>
      </c>
      <c r="H15" s="36">
        <v>42</v>
      </c>
      <c r="I15" s="36">
        <v>214</v>
      </c>
      <c r="J15" s="36">
        <f>81+4</f>
        <v>85</v>
      </c>
      <c r="K15" s="36">
        <v>0</v>
      </c>
      <c r="L15" s="36">
        <v>0</v>
      </c>
      <c r="M15" s="36">
        <v>0</v>
      </c>
      <c r="N15" s="36">
        <v>0</v>
      </c>
      <c r="O15" s="36">
        <f t="shared" si="0"/>
        <v>3104</v>
      </c>
      <c r="P15" s="36">
        <f t="shared" si="1"/>
        <v>2998</v>
      </c>
    </row>
    <row r="16" spans="1:16" x14ac:dyDescent="0.25">
      <c r="A16" s="27">
        <v>0</v>
      </c>
      <c r="B16" s="10" t="s">
        <v>122</v>
      </c>
      <c r="C16" s="36">
        <f>1360</f>
        <v>1360</v>
      </c>
      <c r="D16" s="36">
        <v>1301</v>
      </c>
      <c r="E16" s="36">
        <f>918+106</f>
        <v>1024</v>
      </c>
      <c r="F16" s="36">
        <f>938+71</f>
        <v>1009</v>
      </c>
      <c r="G16" s="36">
        <v>51</v>
      </c>
      <c r="H16" s="36">
        <v>31</v>
      </c>
      <c r="I16" s="36">
        <v>209</v>
      </c>
      <c r="J16" s="36">
        <f>62+2</f>
        <v>64</v>
      </c>
      <c r="K16" s="36">
        <v>1</v>
      </c>
      <c r="L16" s="36">
        <v>0</v>
      </c>
      <c r="M16" s="36">
        <v>0</v>
      </c>
      <c r="N16" s="36">
        <v>0</v>
      </c>
      <c r="O16" s="36">
        <f t="shared" si="0"/>
        <v>2645</v>
      </c>
      <c r="P16" s="36">
        <f t="shared" si="1"/>
        <v>2405</v>
      </c>
    </row>
    <row r="17" spans="1:16" x14ac:dyDescent="0.25">
      <c r="A17" s="27">
        <v>10</v>
      </c>
      <c r="B17" s="10" t="s">
        <v>123</v>
      </c>
      <c r="C17" s="36">
        <f>1091</f>
        <v>1091</v>
      </c>
      <c r="D17" s="36">
        <v>1123</v>
      </c>
      <c r="E17" s="36">
        <f>993+111</f>
        <v>1104</v>
      </c>
      <c r="F17" s="36">
        <f>997+101</f>
        <v>1098</v>
      </c>
      <c r="G17" s="36">
        <v>53</v>
      </c>
      <c r="H17" s="36">
        <v>20</v>
      </c>
      <c r="I17" s="36">
        <v>201</v>
      </c>
      <c r="J17" s="36">
        <f>91+6</f>
        <v>97</v>
      </c>
      <c r="K17" s="36">
        <v>0</v>
      </c>
      <c r="L17" s="36">
        <v>0</v>
      </c>
      <c r="M17" s="36">
        <v>0</v>
      </c>
      <c r="N17" s="36">
        <v>0</v>
      </c>
      <c r="O17" s="36">
        <f t="shared" si="0"/>
        <v>2449</v>
      </c>
      <c r="P17" s="36">
        <f t="shared" si="1"/>
        <v>2338</v>
      </c>
    </row>
    <row r="18" spans="1:16" x14ac:dyDescent="0.25">
      <c r="A18" s="27">
        <v>11</v>
      </c>
      <c r="B18" s="10" t="s">
        <v>124</v>
      </c>
      <c r="C18" s="36">
        <f>1062</f>
        <v>1062</v>
      </c>
      <c r="D18" s="36">
        <v>1105</v>
      </c>
      <c r="E18" s="36">
        <f>1100+84</f>
        <v>1184</v>
      </c>
      <c r="F18" s="36">
        <f>1124+92</f>
        <v>1216</v>
      </c>
      <c r="G18" s="36">
        <v>49</v>
      </c>
      <c r="H18" s="36">
        <v>25</v>
      </c>
      <c r="I18" s="36">
        <v>194</v>
      </c>
      <c r="J18" s="36">
        <f>76+6</f>
        <v>82</v>
      </c>
      <c r="K18" s="36">
        <v>0</v>
      </c>
      <c r="L18" s="36">
        <v>0</v>
      </c>
      <c r="M18" s="36">
        <v>0</v>
      </c>
      <c r="N18" s="36">
        <v>0</v>
      </c>
      <c r="O18" s="36">
        <f t="shared" si="0"/>
        <v>2489</v>
      </c>
      <c r="P18" s="36">
        <f t="shared" si="1"/>
        <v>2428</v>
      </c>
    </row>
    <row r="19" spans="1:16" x14ac:dyDescent="0.25">
      <c r="A19" s="27">
        <v>12</v>
      </c>
      <c r="B19" s="10" t="s">
        <v>125</v>
      </c>
      <c r="C19" s="36">
        <f>626</f>
        <v>626</v>
      </c>
      <c r="D19" s="36">
        <v>563</v>
      </c>
      <c r="E19" s="36">
        <f>606+64</f>
        <v>670</v>
      </c>
      <c r="F19" s="36">
        <f>625+69</f>
        <v>694</v>
      </c>
      <c r="G19" s="36">
        <v>16</v>
      </c>
      <c r="H19" s="36">
        <v>7</v>
      </c>
      <c r="I19" s="36">
        <v>107</v>
      </c>
      <c r="J19" s="36">
        <f>24+10</f>
        <v>34</v>
      </c>
      <c r="K19" s="36">
        <v>0</v>
      </c>
      <c r="L19" s="36">
        <v>0</v>
      </c>
      <c r="M19" s="36">
        <v>0</v>
      </c>
      <c r="N19" s="36">
        <v>0</v>
      </c>
      <c r="O19" s="36">
        <f t="shared" si="0"/>
        <v>1419</v>
      </c>
      <c r="P19" s="36">
        <f t="shared" si="1"/>
        <v>1298</v>
      </c>
    </row>
    <row r="20" spans="1:16" x14ac:dyDescent="0.25">
      <c r="A20" s="191" t="s">
        <v>0</v>
      </c>
      <c r="B20" s="193"/>
      <c r="C20" s="46">
        <f t="shared" ref="C20:P20" si="2">SUM(C8:C19)</f>
        <v>18396</v>
      </c>
      <c r="D20" s="46">
        <f t="shared" si="2"/>
        <v>18071</v>
      </c>
      <c r="E20" s="46">
        <f t="shared" si="2"/>
        <v>14485</v>
      </c>
      <c r="F20" s="46">
        <f t="shared" si="2"/>
        <v>14617</v>
      </c>
      <c r="G20" s="46">
        <f t="shared" si="2"/>
        <v>597</v>
      </c>
      <c r="H20" s="46">
        <f>SUM(H8:H19)</f>
        <v>301</v>
      </c>
      <c r="I20" s="46">
        <f>SUM(I8:I19)</f>
        <v>2130</v>
      </c>
      <c r="J20" s="46">
        <f t="shared" si="2"/>
        <v>906</v>
      </c>
      <c r="K20" s="46">
        <f t="shared" si="2"/>
        <v>3</v>
      </c>
      <c r="L20" s="46">
        <f t="shared" si="2"/>
        <v>1</v>
      </c>
      <c r="M20" s="46">
        <f t="shared" si="2"/>
        <v>0</v>
      </c>
      <c r="N20" s="46">
        <f t="shared" si="2"/>
        <v>2</v>
      </c>
      <c r="O20" s="46">
        <f t="shared" si="2"/>
        <v>35611</v>
      </c>
      <c r="P20" s="72">
        <f t="shared" si="2"/>
        <v>33898</v>
      </c>
    </row>
    <row r="22" spans="1:16" x14ac:dyDescent="0.25">
      <c r="A22" s="66" t="s">
        <v>214</v>
      </c>
      <c r="B22" s="66"/>
      <c r="C22" s="66"/>
      <c r="D22" s="66"/>
    </row>
  </sheetData>
  <mergeCells count="15">
    <mergeCell ref="A20:B20"/>
    <mergeCell ref="A1:P1"/>
    <mergeCell ref="A2:P2"/>
    <mergeCell ref="A5:A7"/>
    <mergeCell ref="C5:F5"/>
    <mergeCell ref="G5:J5"/>
    <mergeCell ref="K5:N5"/>
    <mergeCell ref="O5:P6"/>
    <mergeCell ref="C6:D6"/>
    <mergeCell ref="E6:F6"/>
    <mergeCell ref="G6:H6"/>
    <mergeCell ref="I6:J6"/>
    <mergeCell ref="K6:L6"/>
    <mergeCell ref="M6:N6"/>
    <mergeCell ref="B5:B7"/>
  </mergeCells>
  <pageMargins left="0.28999999999999998" right="0.15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K20"/>
  <sheetViews>
    <sheetView workbookViewId="0">
      <selection activeCell="A2" sqref="A2:K2"/>
    </sheetView>
  </sheetViews>
  <sheetFormatPr defaultColWidth="9.140625" defaultRowHeight="15.75" x14ac:dyDescent="0.25"/>
  <cols>
    <col min="1" max="1" width="20.5703125" style="3" customWidth="1"/>
    <col min="2" max="2" width="10.5703125" style="3" bestFit="1" customWidth="1"/>
    <col min="3" max="16384" width="9.140625" style="3"/>
  </cols>
  <sheetData>
    <row r="1" spans="1:11" x14ac:dyDescent="0.25">
      <c r="A1" s="194" t="s">
        <v>242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1" x14ac:dyDescent="0.25">
      <c r="A2" s="194" t="s">
        <v>223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4" spans="1:11" x14ac:dyDescent="0.25">
      <c r="A4" s="206" t="s">
        <v>42</v>
      </c>
      <c r="B4" s="217" t="s">
        <v>43</v>
      </c>
      <c r="C4" s="218"/>
      <c r="D4" s="218"/>
      <c r="E4" s="218"/>
      <c r="F4" s="218"/>
      <c r="G4" s="218"/>
      <c r="H4" s="218"/>
      <c r="I4" s="218"/>
      <c r="J4" s="218"/>
      <c r="K4" s="219"/>
    </row>
    <row r="5" spans="1:11" ht="31.5" x14ac:dyDescent="0.25">
      <c r="A5" s="208"/>
      <c r="B5" s="87" t="s">
        <v>44</v>
      </c>
      <c r="C5" s="87" t="s">
        <v>45</v>
      </c>
      <c r="D5" s="87" t="s">
        <v>46</v>
      </c>
      <c r="E5" s="87" t="s">
        <v>47</v>
      </c>
      <c r="F5" s="87" t="s">
        <v>48</v>
      </c>
      <c r="G5" s="87" t="s">
        <v>49</v>
      </c>
      <c r="H5" s="87" t="s">
        <v>50</v>
      </c>
      <c r="I5" s="87" t="s">
        <v>51</v>
      </c>
      <c r="J5" s="87" t="s">
        <v>52</v>
      </c>
      <c r="K5" s="87" t="s">
        <v>53</v>
      </c>
    </row>
    <row r="6" spans="1:11" x14ac:dyDescent="0.25">
      <c r="A6" s="27">
        <v>1</v>
      </c>
      <c r="B6" s="27">
        <v>1</v>
      </c>
      <c r="C6" s="27">
        <v>293</v>
      </c>
      <c r="D6" s="27">
        <v>4077</v>
      </c>
      <c r="E6" s="27">
        <v>2438</v>
      </c>
      <c r="F6" s="27">
        <v>921</v>
      </c>
      <c r="G6" s="27">
        <v>168</v>
      </c>
      <c r="H6" s="27">
        <v>27</v>
      </c>
      <c r="I6" s="27">
        <v>13</v>
      </c>
      <c r="J6" s="27">
        <v>13</v>
      </c>
      <c r="K6" s="27">
        <f t="shared" ref="K6:K18" si="0">SUM(B6:J6)</f>
        <v>7951</v>
      </c>
    </row>
    <row r="7" spans="1:11" x14ac:dyDescent="0.25">
      <c r="A7" s="27">
        <v>2</v>
      </c>
      <c r="B7" s="27">
        <v>0</v>
      </c>
      <c r="C7" s="27">
        <v>51</v>
      </c>
      <c r="D7" s="27">
        <v>2583</v>
      </c>
      <c r="E7" s="27">
        <v>3608</v>
      </c>
      <c r="F7" s="27">
        <v>1391</v>
      </c>
      <c r="G7" s="27">
        <v>352</v>
      </c>
      <c r="H7" s="27">
        <v>38</v>
      </c>
      <c r="I7" s="27">
        <v>16</v>
      </c>
      <c r="J7" s="27">
        <v>24</v>
      </c>
      <c r="K7" s="27">
        <f t="shared" si="0"/>
        <v>8063</v>
      </c>
    </row>
    <row r="8" spans="1:11" x14ac:dyDescent="0.25">
      <c r="A8" s="27">
        <v>3</v>
      </c>
      <c r="B8" s="27">
        <v>0</v>
      </c>
      <c r="C8" s="27">
        <v>30</v>
      </c>
      <c r="D8" s="27">
        <v>1159</v>
      </c>
      <c r="E8" s="27">
        <v>3361</v>
      </c>
      <c r="F8" s="27">
        <v>1770</v>
      </c>
      <c r="G8" s="27">
        <v>605</v>
      </c>
      <c r="H8" s="27">
        <v>53</v>
      </c>
      <c r="I8" s="27">
        <v>16</v>
      </c>
      <c r="J8" s="27">
        <v>23</v>
      </c>
      <c r="K8" s="27">
        <f t="shared" si="0"/>
        <v>7017</v>
      </c>
    </row>
    <row r="9" spans="1:11" x14ac:dyDescent="0.25">
      <c r="A9" s="27">
        <v>4</v>
      </c>
      <c r="B9" s="27">
        <v>0</v>
      </c>
      <c r="C9" s="27">
        <v>0</v>
      </c>
      <c r="D9" s="27">
        <v>679</v>
      </c>
      <c r="E9" s="27">
        <v>2075</v>
      </c>
      <c r="F9" s="27">
        <v>1615</v>
      </c>
      <c r="G9" s="27">
        <v>711</v>
      </c>
      <c r="H9" s="27">
        <v>83</v>
      </c>
      <c r="I9" s="27">
        <v>31</v>
      </c>
      <c r="J9" s="27">
        <v>19</v>
      </c>
      <c r="K9" s="27">
        <f t="shared" si="0"/>
        <v>5213</v>
      </c>
    </row>
    <row r="10" spans="1:11" x14ac:dyDescent="0.25">
      <c r="A10" s="27">
        <v>5</v>
      </c>
      <c r="B10" s="27">
        <v>0</v>
      </c>
      <c r="C10" s="27">
        <v>0</v>
      </c>
      <c r="D10" s="27">
        <v>0</v>
      </c>
      <c r="E10" s="27">
        <v>980</v>
      </c>
      <c r="F10" s="27">
        <v>1056</v>
      </c>
      <c r="G10" s="27">
        <v>538</v>
      </c>
      <c r="H10" s="27">
        <v>81</v>
      </c>
      <c r="I10" s="27">
        <v>52</v>
      </c>
      <c r="J10" s="27">
        <v>12</v>
      </c>
      <c r="K10" s="27">
        <f t="shared" si="0"/>
        <v>2719</v>
      </c>
    </row>
    <row r="11" spans="1:11" x14ac:dyDescent="0.25">
      <c r="A11" s="27">
        <v>6</v>
      </c>
      <c r="B11" s="27">
        <v>0</v>
      </c>
      <c r="C11" s="27">
        <v>0</v>
      </c>
      <c r="D11" s="27">
        <v>0</v>
      </c>
      <c r="E11" s="27">
        <v>458</v>
      </c>
      <c r="F11" s="27">
        <v>650</v>
      </c>
      <c r="G11" s="27">
        <v>447</v>
      </c>
      <c r="H11" s="27">
        <v>89</v>
      </c>
      <c r="I11" s="27">
        <v>27</v>
      </c>
      <c r="J11" s="27">
        <v>14</v>
      </c>
      <c r="K11" s="27">
        <f t="shared" si="0"/>
        <v>1685</v>
      </c>
    </row>
    <row r="12" spans="1:11" x14ac:dyDescent="0.25">
      <c r="A12" s="27">
        <v>7</v>
      </c>
      <c r="B12" s="27">
        <v>0</v>
      </c>
      <c r="C12" s="27">
        <v>0</v>
      </c>
      <c r="D12" s="27">
        <v>0</v>
      </c>
      <c r="E12" s="27">
        <v>213</v>
      </c>
      <c r="F12" s="27">
        <v>323</v>
      </c>
      <c r="G12" s="27">
        <v>261</v>
      </c>
      <c r="H12" s="27">
        <v>67</v>
      </c>
      <c r="I12" s="27">
        <v>21</v>
      </c>
      <c r="J12" s="27">
        <v>4</v>
      </c>
      <c r="K12" s="27">
        <f t="shared" si="0"/>
        <v>889</v>
      </c>
    </row>
    <row r="13" spans="1:11" x14ac:dyDescent="0.25">
      <c r="A13" s="27">
        <v>8</v>
      </c>
      <c r="B13" s="27">
        <v>0</v>
      </c>
      <c r="C13" s="27">
        <v>0</v>
      </c>
      <c r="D13" s="27">
        <v>0</v>
      </c>
      <c r="E13" s="27">
        <v>110</v>
      </c>
      <c r="F13" s="27">
        <v>115</v>
      </c>
      <c r="G13" s="27">
        <v>161</v>
      </c>
      <c r="H13" s="27">
        <v>38</v>
      </c>
      <c r="I13" s="27">
        <v>12</v>
      </c>
      <c r="J13" s="27">
        <v>1</v>
      </c>
      <c r="K13" s="27">
        <f t="shared" si="0"/>
        <v>437</v>
      </c>
    </row>
    <row r="14" spans="1:11" x14ac:dyDescent="0.25">
      <c r="A14" s="27">
        <v>9</v>
      </c>
      <c r="B14" s="27">
        <v>0</v>
      </c>
      <c r="C14" s="27">
        <v>0</v>
      </c>
      <c r="D14" s="27">
        <v>0</v>
      </c>
      <c r="E14" s="27">
        <v>34</v>
      </c>
      <c r="F14" s="27">
        <v>56</v>
      </c>
      <c r="G14" s="27">
        <v>100</v>
      </c>
      <c r="H14" s="27">
        <v>22</v>
      </c>
      <c r="I14" s="27">
        <v>7</v>
      </c>
      <c r="J14" s="27">
        <v>2</v>
      </c>
      <c r="K14" s="27">
        <f t="shared" si="0"/>
        <v>221</v>
      </c>
    </row>
    <row r="15" spans="1:11" x14ac:dyDescent="0.25">
      <c r="A15" s="27">
        <v>10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39</v>
      </c>
      <c r="H15" s="27">
        <v>11</v>
      </c>
      <c r="I15" s="27">
        <v>8</v>
      </c>
      <c r="J15" s="27">
        <v>2</v>
      </c>
      <c r="K15" s="27">
        <f t="shared" si="0"/>
        <v>60</v>
      </c>
    </row>
    <row r="16" spans="1:11" x14ac:dyDescent="0.25">
      <c r="A16" s="34" t="s">
        <v>54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21</v>
      </c>
      <c r="H16" s="27">
        <v>9</v>
      </c>
      <c r="I16" s="27">
        <v>9</v>
      </c>
      <c r="J16" s="27">
        <v>3</v>
      </c>
      <c r="K16" s="27">
        <f t="shared" si="0"/>
        <v>42</v>
      </c>
    </row>
    <row r="17" spans="1:11" x14ac:dyDescent="0.25">
      <c r="A17" s="34" t="s">
        <v>55</v>
      </c>
      <c r="B17" s="27">
        <v>1</v>
      </c>
      <c r="C17" s="27">
        <v>65</v>
      </c>
      <c r="D17" s="27">
        <v>934</v>
      </c>
      <c r="E17" s="27">
        <v>229</v>
      </c>
      <c r="F17" s="27">
        <v>122</v>
      </c>
      <c r="G17" s="27">
        <v>31</v>
      </c>
      <c r="H17" s="27">
        <v>6</v>
      </c>
      <c r="I17" s="27">
        <v>8</v>
      </c>
      <c r="J17" s="27">
        <v>774</v>
      </c>
      <c r="K17" s="27">
        <f t="shared" si="0"/>
        <v>2170</v>
      </c>
    </row>
    <row r="18" spans="1:11" x14ac:dyDescent="0.25">
      <c r="A18" s="29" t="s">
        <v>0</v>
      </c>
      <c r="B18" s="29">
        <f t="shared" ref="B18:J18" si="1">SUM(B6:B17)</f>
        <v>2</v>
      </c>
      <c r="C18" s="29">
        <f t="shared" si="1"/>
        <v>439</v>
      </c>
      <c r="D18" s="29">
        <f t="shared" si="1"/>
        <v>9432</v>
      </c>
      <c r="E18" s="29">
        <f t="shared" si="1"/>
        <v>13506</v>
      </c>
      <c r="F18" s="29">
        <f t="shared" si="1"/>
        <v>8019</v>
      </c>
      <c r="G18" s="29">
        <f t="shared" si="1"/>
        <v>3434</v>
      </c>
      <c r="H18" s="29">
        <f t="shared" si="1"/>
        <v>524</v>
      </c>
      <c r="I18" s="29">
        <f t="shared" si="1"/>
        <v>220</v>
      </c>
      <c r="J18" s="29">
        <f t="shared" si="1"/>
        <v>891</v>
      </c>
      <c r="K18" s="29">
        <f t="shared" si="0"/>
        <v>36467</v>
      </c>
    </row>
    <row r="20" spans="1:11" x14ac:dyDescent="0.25">
      <c r="A20" s="66" t="s">
        <v>214</v>
      </c>
    </row>
  </sheetData>
  <mergeCells count="4">
    <mergeCell ref="A4:A5"/>
    <mergeCell ref="B4:K4"/>
    <mergeCell ref="A1:K1"/>
    <mergeCell ref="A2:K2"/>
  </mergeCells>
  <pageMargins left="1.4173228346456694" right="0.70866141732283472" top="0.74803149606299213" bottom="0.74803149606299213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K20"/>
  <sheetViews>
    <sheetView zoomScale="80" zoomScaleNormal="80" workbookViewId="0">
      <selection activeCell="A2" sqref="A2:K2"/>
    </sheetView>
  </sheetViews>
  <sheetFormatPr defaultColWidth="9.140625" defaultRowHeight="15.75" x14ac:dyDescent="0.25"/>
  <cols>
    <col min="1" max="1" width="20.5703125" style="3" customWidth="1"/>
    <col min="2" max="2" width="10.5703125" style="3" bestFit="1" customWidth="1"/>
    <col min="3" max="16384" width="9.140625" style="3"/>
  </cols>
  <sheetData>
    <row r="1" spans="1:11" x14ac:dyDescent="0.25">
      <c r="A1" s="194" t="s">
        <v>243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1" x14ac:dyDescent="0.25">
      <c r="A2" s="194" t="s">
        <v>232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4" spans="1:11" x14ac:dyDescent="0.25">
      <c r="A4" s="206" t="s">
        <v>42</v>
      </c>
      <c r="B4" s="217" t="s">
        <v>43</v>
      </c>
      <c r="C4" s="218"/>
      <c r="D4" s="218"/>
      <c r="E4" s="218"/>
      <c r="F4" s="218"/>
      <c r="G4" s="218"/>
      <c r="H4" s="218"/>
      <c r="I4" s="218"/>
      <c r="J4" s="218"/>
      <c r="K4" s="219"/>
    </row>
    <row r="5" spans="1:11" ht="31.5" x14ac:dyDescent="0.25">
      <c r="A5" s="208"/>
      <c r="B5" s="72" t="s">
        <v>44</v>
      </c>
      <c r="C5" s="72" t="s">
        <v>45</v>
      </c>
      <c r="D5" s="72" t="s">
        <v>46</v>
      </c>
      <c r="E5" s="72" t="s">
        <v>47</v>
      </c>
      <c r="F5" s="72" t="s">
        <v>48</v>
      </c>
      <c r="G5" s="72" t="s">
        <v>49</v>
      </c>
      <c r="H5" s="72" t="s">
        <v>50</v>
      </c>
      <c r="I5" s="72" t="s">
        <v>51</v>
      </c>
      <c r="J5" s="72" t="s">
        <v>52</v>
      </c>
      <c r="K5" s="72" t="s">
        <v>53</v>
      </c>
    </row>
    <row r="6" spans="1:11" x14ac:dyDescent="0.25">
      <c r="A6" s="27">
        <v>1</v>
      </c>
      <c r="B6" s="27">
        <v>1</v>
      </c>
      <c r="C6" s="27">
        <f>345+38+35</f>
        <v>418</v>
      </c>
      <c r="D6" s="27">
        <f>2229+265+50</f>
        <v>2544</v>
      </c>
      <c r="E6" s="27">
        <f>2338+190+84</f>
        <v>2612</v>
      </c>
      <c r="F6" s="27">
        <f>1178+194</f>
        <v>1372</v>
      </c>
      <c r="G6" s="27">
        <f>340+85</f>
        <v>425</v>
      </c>
      <c r="H6" s="27">
        <f>57+11</f>
        <v>68</v>
      </c>
      <c r="I6" s="27">
        <f>16+3</f>
        <v>19</v>
      </c>
      <c r="J6" s="27">
        <f>105+5</f>
        <v>110</v>
      </c>
      <c r="K6" s="27">
        <f t="shared" ref="K6:K18" si="0">SUM(B6:J6)</f>
        <v>7569</v>
      </c>
    </row>
    <row r="7" spans="1:11" x14ac:dyDescent="0.25">
      <c r="A7" s="27">
        <v>2</v>
      </c>
      <c r="B7" s="27">
        <v>0</v>
      </c>
      <c r="C7" s="27">
        <f>75+5</f>
        <v>80</v>
      </c>
      <c r="D7" s="27">
        <f>1533+175</f>
        <v>1708</v>
      </c>
      <c r="E7" s="27">
        <f>2924+204</f>
        <v>3128</v>
      </c>
      <c r="F7" s="27">
        <f>1863+158</f>
        <v>2021</v>
      </c>
      <c r="G7" s="27">
        <f>531+92</f>
        <v>623</v>
      </c>
      <c r="H7" s="27">
        <f>85+20</f>
        <v>105</v>
      </c>
      <c r="I7" s="27">
        <f>17+3</f>
        <v>20</v>
      </c>
      <c r="J7" s="27">
        <v>167</v>
      </c>
      <c r="K7" s="27">
        <f t="shared" si="0"/>
        <v>7852</v>
      </c>
    </row>
    <row r="8" spans="1:11" x14ac:dyDescent="0.25">
      <c r="A8" s="27">
        <v>3</v>
      </c>
      <c r="B8" s="27">
        <v>0</v>
      </c>
      <c r="C8" s="27">
        <v>0</v>
      </c>
      <c r="D8" s="27">
        <f>740+32</f>
        <v>772</v>
      </c>
      <c r="E8" s="27">
        <f>2018+96</f>
        <v>2114</v>
      </c>
      <c r="F8" s="27">
        <f>2008+82</f>
        <v>2090</v>
      </c>
      <c r="G8" s="27">
        <f>536+51</f>
        <v>587</v>
      </c>
      <c r="H8" s="27">
        <f>96+16</f>
        <v>112</v>
      </c>
      <c r="I8" s="27">
        <v>24</v>
      </c>
      <c r="J8" s="27">
        <v>155</v>
      </c>
      <c r="K8" s="27">
        <f t="shared" si="0"/>
        <v>5854</v>
      </c>
    </row>
    <row r="9" spans="1:11" x14ac:dyDescent="0.25">
      <c r="A9" s="27">
        <v>4</v>
      </c>
      <c r="B9" s="27">
        <v>0</v>
      </c>
      <c r="C9" s="27">
        <v>0</v>
      </c>
      <c r="D9" s="27">
        <f>372+5</f>
        <v>377</v>
      </c>
      <c r="E9" s="27">
        <f>1028+52</f>
        <v>1080</v>
      </c>
      <c r="F9" s="27">
        <f>1005+29</f>
        <v>1034</v>
      </c>
      <c r="G9" s="27">
        <f>469+25</f>
        <v>494</v>
      </c>
      <c r="H9" s="27">
        <f>88+8</f>
        <v>96</v>
      </c>
      <c r="I9" s="27">
        <v>27</v>
      </c>
      <c r="J9" s="27">
        <v>96</v>
      </c>
      <c r="K9" s="27">
        <f t="shared" si="0"/>
        <v>3204</v>
      </c>
    </row>
    <row r="10" spans="1:11" ht="15" customHeight="1" x14ac:dyDescent="0.25">
      <c r="A10" s="27">
        <v>5</v>
      </c>
      <c r="B10" s="27">
        <v>0</v>
      </c>
      <c r="C10" s="27">
        <v>0</v>
      </c>
      <c r="D10" s="27">
        <f>224+2</f>
        <v>226</v>
      </c>
      <c r="E10" s="27">
        <f>511+30</f>
        <v>541</v>
      </c>
      <c r="F10" s="27">
        <f>583+18</f>
        <v>601</v>
      </c>
      <c r="G10" s="27">
        <f>322+12</f>
        <v>334</v>
      </c>
      <c r="H10" s="27">
        <f>75+2</f>
        <v>77</v>
      </c>
      <c r="I10" s="27">
        <f>31+3</f>
        <v>34</v>
      </c>
      <c r="J10" s="27">
        <v>78</v>
      </c>
      <c r="K10" s="27">
        <f t="shared" si="0"/>
        <v>1891</v>
      </c>
    </row>
    <row r="11" spans="1:11" x14ac:dyDescent="0.25">
      <c r="A11" s="27">
        <v>6</v>
      </c>
      <c r="B11" s="27">
        <v>0</v>
      </c>
      <c r="C11" s="27">
        <v>0</v>
      </c>
      <c r="D11" s="27">
        <v>1</v>
      </c>
      <c r="E11" s="27">
        <f>197+16</f>
        <v>213</v>
      </c>
      <c r="F11" s="27">
        <f>306+16</f>
        <v>322</v>
      </c>
      <c r="G11" s="27">
        <f>201+6</f>
        <v>207</v>
      </c>
      <c r="H11" s="27">
        <f>53+1</f>
        <v>54</v>
      </c>
      <c r="I11" s="27">
        <v>14</v>
      </c>
      <c r="J11" s="27">
        <v>44</v>
      </c>
      <c r="K11" s="27">
        <f t="shared" si="0"/>
        <v>855</v>
      </c>
    </row>
    <row r="12" spans="1:11" x14ac:dyDescent="0.25">
      <c r="A12" s="27">
        <v>7</v>
      </c>
      <c r="B12" s="27">
        <v>0</v>
      </c>
      <c r="C12" s="27">
        <v>0</v>
      </c>
      <c r="D12" s="27">
        <v>0</v>
      </c>
      <c r="E12" s="27">
        <f>108+1</f>
        <v>109</v>
      </c>
      <c r="F12" s="27">
        <f>121+4</f>
        <v>125</v>
      </c>
      <c r="G12" s="27">
        <f>131+4</f>
        <v>135</v>
      </c>
      <c r="H12" s="27">
        <f>34+2</f>
        <v>36</v>
      </c>
      <c r="I12" s="27">
        <v>17</v>
      </c>
      <c r="J12" s="27">
        <v>24</v>
      </c>
      <c r="K12" s="27">
        <f t="shared" si="0"/>
        <v>446</v>
      </c>
    </row>
    <row r="13" spans="1:11" x14ac:dyDescent="0.25">
      <c r="A13" s="27">
        <v>8</v>
      </c>
      <c r="B13" s="27">
        <v>0</v>
      </c>
      <c r="C13" s="27">
        <v>0</v>
      </c>
      <c r="D13" s="27">
        <v>0</v>
      </c>
      <c r="E13" s="27">
        <v>3</v>
      </c>
      <c r="F13" s="27">
        <v>4</v>
      </c>
      <c r="G13" s="27">
        <f>84+1</f>
        <v>85</v>
      </c>
      <c r="H13" s="27">
        <v>20</v>
      </c>
      <c r="I13" s="27">
        <v>11</v>
      </c>
      <c r="J13" s="27">
        <v>18</v>
      </c>
      <c r="K13" s="27">
        <f t="shared" si="0"/>
        <v>141</v>
      </c>
    </row>
    <row r="14" spans="1:11" x14ac:dyDescent="0.25">
      <c r="A14" s="27">
        <v>9</v>
      </c>
      <c r="B14" s="27">
        <v>0</v>
      </c>
      <c r="C14" s="27">
        <v>0</v>
      </c>
      <c r="D14" s="27">
        <v>0</v>
      </c>
      <c r="E14" s="27">
        <v>0</v>
      </c>
      <c r="F14" s="27">
        <v>2</v>
      </c>
      <c r="G14" s="27">
        <v>35</v>
      </c>
      <c r="H14" s="27">
        <v>17</v>
      </c>
      <c r="I14" s="27">
        <v>7</v>
      </c>
      <c r="J14" s="27">
        <v>11</v>
      </c>
      <c r="K14" s="27">
        <f t="shared" si="0"/>
        <v>72</v>
      </c>
    </row>
    <row r="15" spans="1:11" x14ac:dyDescent="0.25">
      <c r="A15" s="27">
        <v>10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15</v>
      </c>
      <c r="H15" s="27">
        <v>8</v>
      </c>
      <c r="I15" s="27">
        <v>3</v>
      </c>
      <c r="J15" s="27">
        <v>4</v>
      </c>
      <c r="K15" s="27">
        <f t="shared" si="0"/>
        <v>30</v>
      </c>
    </row>
    <row r="16" spans="1:11" x14ac:dyDescent="0.25">
      <c r="A16" s="34" t="s">
        <v>54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6</v>
      </c>
      <c r="H16" s="27">
        <v>2</v>
      </c>
      <c r="I16" s="27">
        <v>1</v>
      </c>
      <c r="J16" s="27">
        <v>3</v>
      </c>
      <c r="K16" s="27">
        <f t="shared" si="0"/>
        <v>12</v>
      </c>
    </row>
    <row r="17" spans="1:11" x14ac:dyDescent="0.25">
      <c r="A17" s="34" t="s">
        <v>55</v>
      </c>
      <c r="B17" s="27">
        <v>0</v>
      </c>
      <c r="C17" s="27">
        <v>8</v>
      </c>
      <c r="D17" s="27">
        <v>75</v>
      </c>
      <c r="E17" s="27">
        <f>103+19+9+4+45-3</f>
        <v>177</v>
      </c>
      <c r="F17" s="27">
        <f>88+16+5+5</f>
        <v>114</v>
      </c>
      <c r="G17" s="27">
        <f>26</f>
        <v>26</v>
      </c>
      <c r="H17" s="27">
        <v>5</v>
      </c>
      <c r="I17" s="27">
        <v>12</v>
      </c>
      <c r="J17" s="27">
        <v>759</v>
      </c>
      <c r="K17" s="27">
        <f t="shared" si="0"/>
        <v>1176</v>
      </c>
    </row>
    <row r="18" spans="1:11" x14ac:dyDescent="0.25">
      <c r="A18" s="29" t="s">
        <v>0</v>
      </c>
      <c r="B18" s="29">
        <f t="shared" ref="B18:J18" si="1">SUM(B6:B17)</f>
        <v>1</v>
      </c>
      <c r="C18" s="29">
        <f t="shared" si="1"/>
        <v>506</v>
      </c>
      <c r="D18" s="29">
        <f t="shared" si="1"/>
        <v>5703</v>
      </c>
      <c r="E18" s="29">
        <f t="shared" si="1"/>
        <v>9977</v>
      </c>
      <c r="F18" s="29">
        <f t="shared" si="1"/>
        <v>7685</v>
      </c>
      <c r="G18" s="29">
        <f t="shared" si="1"/>
        <v>2972</v>
      </c>
      <c r="H18" s="29">
        <f t="shared" si="1"/>
        <v>600</v>
      </c>
      <c r="I18" s="29">
        <f t="shared" si="1"/>
        <v>189</v>
      </c>
      <c r="J18" s="29">
        <f t="shared" si="1"/>
        <v>1469</v>
      </c>
      <c r="K18" s="29">
        <f t="shared" si="0"/>
        <v>29102</v>
      </c>
    </row>
    <row r="20" spans="1:11" x14ac:dyDescent="0.25">
      <c r="A20" s="66" t="s">
        <v>214</v>
      </c>
    </row>
  </sheetData>
  <mergeCells count="4">
    <mergeCell ref="A1:K1"/>
    <mergeCell ref="A2:K2"/>
    <mergeCell ref="A4:A5"/>
    <mergeCell ref="B4:K4"/>
  </mergeCells>
  <pageMargins left="0.9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F21"/>
  <sheetViews>
    <sheetView workbookViewId="0">
      <selection activeCell="A2" sqref="A2:F2"/>
    </sheetView>
  </sheetViews>
  <sheetFormatPr defaultColWidth="9.140625" defaultRowHeight="15.75" x14ac:dyDescent="0.25"/>
  <cols>
    <col min="1" max="1" width="14.5703125" style="3" customWidth="1"/>
    <col min="2" max="3" width="16.5703125" style="3" customWidth="1"/>
    <col min="4" max="4" width="20.5703125" style="3" customWidth="1"/>
    <col min="5" max="5" width="16.5703125" style="3" customWidth="1"/>
    <col min="6" max="6" width="20.140625" style="3" customWidth="1"/>
    <col min="7" max="16384" width="9.140625" style="3"/>
  </cols>
  <sheetData>
    <row r="1" spans="1:6" ht="31.5" customHeight="1" x14ac:dyDescent="0.25">
      <c r="A1" s="194" t="s">
        <v>41</v>
      </c>
      <c r="B1" s="194"/>
      <c r="C1" s="194"/>
      <c r="D1" s="194"/>
      <c r="E1" s="194"/>
      <c r="F1" s="194"/>
    </row>
    <row r="2" spans="1:6" ht="27" customHeight="1" x14ac:dyDescent="0.25">
      <c r="A2" s="194" t="s">
        <v>233</v>
      </c>
      <c r="B2" s="194"/>
      <c r="C2" s="194"/>
      <c r="D2" s="194"/>
      <c r="E2" s="194"/>
      <c r="F2" s="194"/>
    </row>
    <row r="3" spans="1:6" ht="13.5" customHeight="1" x14ac:dyDescent="0.25">
      <c r="A3" s="42"/>
      <c r="B3" s="42"/>
      <c r="C3" s="42"/>
      <c r="D3" s="42"/>
      <c r="E3" s="42"/>
      <c r="F3" s="42"/>
    </row>
    <row r="4" spans="1:6" x14ac:dyDescent="0.25">
      <c r="A4" s="220" t="s">
        <v>42</v>
      </c>
      <c r="B4" s="181" t="s">
        <v>57</v>
      </c>
      <c r="C4" s="223"/>
      <c r="D4" s="223"/>
      <c r="E4" s="223"/>
      <c r="F4" s="182"/>
    </row>
    <row r="5" spans="1:6" x14ac:dyDescent="0.25">
      <c r="A5" s="221"/>
      <c r="B5" s="181" t="s">
        <v>58</v>
      </c>
      <c r="C5" s="223"/>
      <c r="D5" s="223"/>
      <c r="E5" s="182"/>
      <c r="F5" s="220" t="s">
        <v>0</v>
      </c>
    </row>
    <row r="6" spans="1:6" ht="47.25" x14ac:dyDescent="0.25">
      <c r="A6" s="222"/>
      <c r="B6" s="87" t="s">
        <v>59</v>
      </c>
      <c r="C6" s="87" t="s">
        <v>60</v>
      </c>
      <c r="D6" s="87" t="s">
        <v>61</v>
      </c>
      <c r="E6" s="87" t="s">
        <v>62</v>
      </c>
      <c r="F6" s="222"/>
    </row>
    <row r="7" spans="1:6" x14ac:dyDescent="0.25">
      <c r="A7" s="27">
        <v>1</v>
      </c>
      <c r="B7" s="27">
        <v>1459</v>
      </c>
      <c r="C7" s="27">
        <v>5076</v>
      </c>
      <c r="D7" s="27">
        <v>885</v>
      </c>
      <c r="E7" s="27">
        <v>531</v>
      </c>
      <c r="F7" s="12">
        <f>SUM(B7:E7)</f>
        <v>7951</v>
      </c>
    </row>
    <row r="8" spans="1:6" x14ac:dyDescent="0.25">
      <c r="A8" s="27">
        <v>2</v>
      </c>
      <c r="B8" s="27">
        <v>1371</v>
      </c>
      <c r="C8" s="27">
        <v>5279</v>
      </c>
      <c r="D8" s="27">
        <v>856</v>
      </c>
      <c r="E8" s="27">
        <v>557</v>
      </c>
      <c r="F8" s="12">
        <f t="shared" ref="F8:F18" si="0">SUM(B8:E8)</f>
        <v>8063</v>
      </c>
    </row>
    <row r="9" spans="1:6" x14ac:dyDescent="0.25">
      <c r="A9" s="27">
        <v>3</v>
      </c>
      <c r="B9" s="27">
        <v>1411</v>
      </c>
      <c r="C9" s="27">
        <v>4688</v>
      </c>
      <c r="D9" s="27">
        <v>624</v>
      </c>
      <c r="E9" s="27">
        <v>294</v>
      </c>
      <c r="F9" s="12">
        <f t="shared" si="0"/>
        <v>7017</v>
      </c>
    </row>
    <row r="10" spans="1:6" x14ac:dyDescent="0.25">
      <c r="A10" s="27">
        <v>4</v>
      </c>
      <c r="B10" s="27">
        <v>1265</v>
      </c>
      <c r="C10" s="27">
        <v>3449</v>
      </c>
      <c r="D10" s="27">
        <v>350</v>
      </c>
      <c r="E10" s="27">
        <v>174</v>
      </c>
      <c r="F10" s="12">
        <f t="shared" si="0"/>
        <v>5238</v>
      </c>
    </row>
    <row r="11" spans="1:6" x14ac:dyDescent="0.25">
      <c r="A11" s="27">
        <v>5</v>
      </c>
      <c r="B11" s="27">
        <v>907</v>
      </c>
      <c r="C11" s="27">
        <v>1946</v>
      </c>
      <c r="D11" s="27">
        <v>170</v>
      </c>
      <c r="E11" s="27">
        <v>59</v>
      </c>
      <c r="F11" s="12">
        <f t="shared" si="0"/>
        <v>3082</v>
      </c>
    </row>
    <row r="12" spans="1:6" x14ac:dyDescent="0.25">
      <c r="A12" s="27">
        <v>6</v>
      </c>
      <c r="B12" s="27">
        <v>548</v>
      </c>
      <c r="C12" s="27">
        <v>1176</v>
      </c>
      <c r="D12" s="27">
        <v>151</v>
      </c>
      <c r="E12" s="27">
        <v>30</v>
      </c>
      <c r="F12" s="12">
        <f t="shared" si="0"/>
        <v>1905</v>
      </c>
    </row>
    <row r="13" spans="1:6" x14ac:dyDescent="0.25">
      <c r="A13" s="27">
        <v>7</v>
      </c>
      <c r="B13" s="27">
        <v>294</v>
      </c>
      <c r="C13" s="27">
        <v>603</v>
      </c>
      <c r="D13" s="27">
        <v>61</v>
      </c>
      <c r="E13" s="27">
        <v>35</v>
      </c>
      <c r="F13" s="27">
        <f t="shared" si="0"/>
        <v>993</v>
      </c>
    </row>
    <row r="14" spans="1:6" x14ac:dyDescent="0.25">
      <c r="A14" s="27">
        <v>8</v>
      </c>
      <c r="B14" s="27">
        <v>175</v>
      </c>
      <c r="C14" s="27">
        <v>248</v>
      </c>
      <c r="D14" s="27">
        <v>50</v>
      </c>
      <c r="E14" s="27">
        <v>20</v>
      </c>
      <c r="F14" s="27">
        <f t="shared" si="0"/>
        <v>493</v>
      </c>
    </row>
    <row r="15" spans="1:6" x14ac:dyDescent="0.25">
      <c r="A15" s="27">
        <v>9</v>
      </c>
      <c r="B15" s="27">
        <v>89</v>
      </c>
      <c r="C15" s="27">
        <v>129</v>
      </c>
      <c r="D15" s="27">
        <v>27</v>
      </c>
      <c r="E15" s="27">
        <v>14</v>
      </c>
      <c r="F15" s="27">
        <f t="shared" si="0"/>
        <v>259</v>
      </c>
    </row>
    <row r="16" spans="1:6" x14ac:dyDescent="0.25">
      <c r="A16" s="27">
        <v>10</v>
      </c>
      <c r="B16" s="27">
        <v>44</v>
      </c>
      <c r="C16" s="27">
        <v>46</v>
      </c>
      <c r="D16" s="27">
        <v>7</v>
      </c>
      <c r="E16" s="27">
        <v>3</v>
      </c>
      <c r="F16" s="27">
        <f t="shared" si="0"/>
        <v>100</v>
      </c>
    </row>
    <row r="17" spans="1:6" x14ac:dyDescent="0.25">
      <c r="A17" s="27" t="s">
        <v>54</v>
      </c>
      <c r="B17" s="27">
        <v>35</v>
      </c>
      <c r="C17" s="27">
        <v>50</v>
      </c>
      <c r="D17" s="27">
        <v>4</v>
      </c>
      <c r="E17" s="27">
        <v>1</v>
      </c>
      <c r="F17" s="27">
        <f t="shared" si="0"/>
        <v>90</v>
      </c>
    </row>
    <row r="18" spans="1:6" x14ac:dyDescent="0.25">
      <c r="A18" s="27" t="s">
        <v>55</v>
      </c>
      <c r="B18" s="27">
        <v>603</v>
      </c>
      <c r="C18" s="27">
        <v>547</v>
      </c>
      <c r="D18" s="27">
        <v>82</v>
      </c>
      <c r="E18" s="27">
        <v>44</v>
      </c>
      <c r="F18" s="12">
        <f t="shared" si="0"/>
        <v>1276</v>
      </c>
    </row>
    <row r="19" spans="1:6" x14ac:dyDescent="0.25">
      <c r="A19" s="29" t="s">
        <v>0</v>
      </c>
      <c r="B19" s="29">
        <f>SUM(B7:B18)</f>
        <v>8201</v>
      </c>
      <c r="C19" s="29">
        <f>SUM(C7:C18)</f>
        <v>23237</v>
      </c>
      <c r="D19" s="29">
        <f>SUM(D7:D18)</f>
        <v>3267</v>
      </c>
      <c r="E19" s="29">
        <f>SUM(E7:E18)</f>
        <v>1762</v>
      </c>
      <c r="F19" s="85">
        <f>SUM(B19:E19)</f>
        <v>36467</v>
      </c>
    </row>
    <row r="21" spans="1:6" x14ac:dyDescent="0.25">
      <c r="A21" s="66" t="s">
        <v>214</v>
      </c>
    </row>
  </sheetData>
  <mergeCells count="6">
    <mergeCell ref="A1:F1"/>
    <mergeCell ref="A2:F2"/>
    <mergeCell ref="A4:A6"/>
    <mergeCell ref="B4:F4"/>
    <mergeCell ref="B5:E5"/>
    <mergeCell ref="F5:F6"/>
  </mergeCells>
  <pageMargins left="1.56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2:F23"/>
  <sheetViews>
    <sheetView zoomScale="110" zoomScaleNormal="110" workbookViewId="0">
      <selection activeCell="H6" sqref="H6"/>
    </sheetView>
  </sheetViews>
  <sheetFormatPr defaultColWidth="9.140625" defaultRowHeight="15.75" x14ac:dyDescent="0.25"/>
  <cols>
    <col min="1" max="1" width="16.140625" style="3" customWidth="1"/>
    <col min="2" max="3" width="16.5703125" style="3" customWidth="1"/>
    <col min="4" max="4" width="20.5703125" style="3" customWidth="1"/>
    <col min="5" max="6" width="16.5703125" style="3" customWidth="1"/>
    <col min="7" max="16384" width="9.140625" style="3"/>
  </cols>
  <sheetData>
    <row r="2" spans="1:6" x14ac:dyDescent="0.25">
      <c r="A2" s="194" t="s">
        <v>56</v>
      </c>
      <c r="B2" s="194"/>
      <c r="C2" s="194"/>
      <c r="D2" s="194"/>
      <c r="E2" s="194"/>
      <c r="F2" s="194"/>
    </row>
    <row r="3" spans="1:6" x14ac:dyDescent="0.25">
      <c r="A3" s="195" t="s">
        <v>224</v>
      </c>
      <c r="B3" s="195"/>
      <c r="C3" s="195"/>
      <c r="D3" s="195"/>
      <c r="E3" s="195"/>
      <c r="F3" s="195"/>
    </row>
    <row r="6" spans="1:6" x14ac:dyDescent="0.25">
      <c r="A6" s="220" t="s">
        <v>42</v>
      </c>
      <c r="B6" s="181" t="s">
        <v>57</v>
      </c>
      <c r="C6" s="223"/>
      <c r="D6" s="223"/>
      <c r="E6" s="223"/>
      <c r="F6" s="182"/>
    </row>
    <row r="7" spans="1:6" x14ac:dyDescent="0.25">
      <c r="A7" s="221"/>
      <c r="B7" s="181" t="s">
        <v>58</v>
      </c>
      <c r="C7" s="223"/>
      <c r="D7" s="223"/>
      <c r="E7" s="182"/>
      <c r="F7" s="220" t="s">
        <v>0</v>
      </c>
    </row>
    <row r="8" spans="1:6" ht="47.25" x14ac:dyDescent="0.25">
      <c r="A8" s="222"/>
      <c r="B8" s="87" t="s">
        <v>59</v>
      </c>
      <c r="C8" s="87" t="s">
        <v>60</v>
      </c>
      <c r="D8" s="87" t="s">
        <v>61</v>
      </c>
      <c r="E8" s="87" t="s">
        <v>62</v>
      </c>
      <c r="F8" s="222"/>
    </row>
    <row r="9" spans="1:6" x14ac:dyDescent="0.25">
      <c r="A9" s="27">
        <v>1</v>
      </c>
      <c r="B9" s="27">
        <v>1346</v>
      </c>
      <c r="C9" s="27">
        <v>3518</v>
      </c>
      <c r="D9" s="27">
        <v>1778</v>
      </c>
      <c r="E9" s="27">
        <v>927</v>
      </c>
      <c r="F9" s="12">
        <f>SUM(B9:E9)</f>
        <v>7569</v>
      </c>
    </row>
    <row r="10" spans="1:6" x14ac:dyDescent="0.25">
      <c r="A10" s="27">
        <v>2</v>
      </c>
      <c r="B10" s="27">
        <v>1512</v>
      </c>
      <c r="C10" s="27">
        <v>3508</v>
      </c>
      <c r="D10" s="27">
        <v>1980</v>
      </c>
      <c r="E10" s="27">
        <v>852</v>
      </c>
      <c r="F10" s="12">
        <f t="shared" ref="F10:F21" si="0">SUM(B10:E10)</f>
        <v>7852</v>
      </c>
    </row>
    <row r="11" spans="1:6" x14ac:dyDescent="0.25">
      <c r="A11" s="27">
        <v>3</v>
      </c>
      <c r="B11" s="27">
        <v>1268</v>
      </c>
      <c r="C11" s="27">
        <v>2776</v>
      </c>
      <c r="D11" s="27">
        <v>1356</v>
      </c>
      <c r="E11" s="27">
        <v>454</v>
      </c>
      <c r="F11" s="12">
        <f t="shared" si="0"/>
        <v>5854</v>
      </c>
    </row>
    <row r="12" spans="1:6" x14ac:dyDescent="0.25">
      <c r="A12" s="27">
        <v>4</v>
      </c>
      <c r="B12" s="27">
        <v>866</v>
      </c>
      <c r="C12" s="27">
        <v>1562</v>
      </c>
      <c r="D12" s="27">
        <v>595</v>
      </c>
      <c r="E12" s="27">
        <v>181</v>
      </c>
      <c r="F12" s="12">
        <f t="shared" si="0"/>
        <v>3204</v>
      </c>
    </row>
    <row r="13" spans="1:6" x14ac:dyDescent="0.25">
      <c r="A13" s="27">
        <v>5</v>
      </c>
      <c r="B13" s="27">
        <v>617</v>
      </c>
      <c r="C13" s="27">
        <v>932</v>
      </c>
      <c r="D13" s="27">
        <v>267</v>
      </c>
      <c r="E13" s="27">
        <v>75</v>
      </c>
      <c r="F13" s="12">
        <f t="shared" si="0"/>
        <v>1891</v>
      </c>
    </row>
    <row r="14" spans="1:6" x14ac:dyDescent="0.25">
      <c r="A14" s="27">
        <v>6</v>
      </c>
      <c r="B14" s="27">
        <v>333</v>
      </c>
      <c r="C14" s="27">
        <v>370</v>
      </c>
      <c r="D14" s="27">
        <v>133</v>
      </c>
      <c r="E14" s="27">
        <v>19</v>
      </c>
      <c r="F14" s="12">
        <f t="shared" si="0"/>
        <v>855</v>
      </c>
    </row>
    <row r="15" spans="1:6" x14ac:dyDescent="0.25">
      <c r="A15" s="27">
        <v>7</v>
      </c>
      <c r="B15" s="27">
        <v>135</v>
      </c>
      <c r="C15" s="27">
        <v>261</v>
      </c>
      <c r="D15" s="27">
        <v>45</v>
      </c>
      <c r="E15" s="27">
        <v>5</v>
      </c>
      <c r="F15" s="12">
        <f t="shared" si="0"/>
        <v>446</v>
      </c>
    </row>
    <row r="16" spans="1:6" x14ac:dyDescent="0.25">
      <c r="A16" s="27">
        <v>8</v>
      </c>
      <c r="B16" s="27">
        <v>46</v>
      </c>
      <c r="C16" s="27">
        <v>82</v>
      </c>
      <c r="D16" s="27">
        <v>8</v>
      </c>
      <c r="E16" s="27">
        <v>5</v>
      </c>
      <c r="F16" s="12">
        <f t="shared" si="0"/>
        <v>141</v>
      </c>
    </row>
    <row r="17" spans="1:6" x14ac:dyDescent="0.25">
      <c r="A17" s="27">
        <v>9</v>
      </c>
      <c r="B17" s="27">
        <v>22</v>
      </c>
      <c r="C17" s="27">
        <v>42</v>
      </c>
      <c r="D17" s="27">
        <v>7</v>
      </c>
      <c r="E17" s="27">
        <v>1</v>
      </c>
      <c r="F17" s="12">
        <f t="shared" si="0"/>
        <v>72</v>
      </c>
    </row>
    <row r="18" spans="1:6" x14ac:dyDescent="0.25">
      <c r="A18" s="27">
        <v>10</v>
      </c>
      <c r="B18" s="27">
        <v>18</v>
      </c>
      <c r="C18" s="27">
        <v>10</v>
      </c>
      <c r="D18" s="27">
        <v>1</v>
      </c>
      <c r="E18" s="27">
        <v>1</v>
      </c>
      <c r="F18" s="12">
        <f t="shared" si="0"/>
        <v>30</v>
      </c>
    </row>
    <row r="19" spans="1:6" x14ac:dyDescent="0.25">
      <c r="A19" s="27" t="s">
        <v>54</v>
      </c>
      <c r="B19" s="27">
        <v>6</v>
      </c>
      <c r="C19" s="27">
        <v>3</v>
      </c>
      <c r="D19" s="27">
        <v>2</v>
      </c>
      <c r="E19" s="27">
        <v>1</v>
      </c>
      <c r="F19" s="27">
        <f>SUM(B19:E19)</f>
        <v>12</v>
      </c>
    </row>
    <row r="20" spans="1:6" x14ac:dyDescent="0.25">
      <c r="A20" s="27" t="s">
        <v>55</v>
      </c>
      <c r="B20" s="27">
        <v>587</v>
      </c>
      <c r="C20" s="27">
        <v>364</v>
      </c>
      <c r="D20" s="27">
        <v>161</v>
      </c>
      <c r="E20" s="27">
        <v>64</v>
      </c>
      <c r="F20" s="27">
        <f t="shared" si="0"/>
        <v>1176</v>
      </c>
    </row>
    <row r="21" spans="1:6" x14ac:dyDescent="0.25">
      <c r="A21" s="29" t="s">
        <v>0</v>
      </c>
      <c r="B21" s="29">
        <f>SUM(B9:B20)</f>
        <v>6756</v>
      </c>
      <c r="C21" s="29">
        <f>SUM(C9:C20)</f>
        <v>13428</v>
      </c>
      <c r="D21" s="29">
        <f>SUM(D9:D20)</f>
        <v>6333</v>
      </c>
      <c r="E21" s="29">
        <f>SUM(E9:E20)</f>
        <v>2585</v>
      </c>
      <c r="F21" s="85">
        <f t="shared" si="0"/>
        <v>29102</v>
      </c>
    </row>
    <row r="23" spans="1:6" x14ac:dyDescent="0.25">
      <c r="A23" s="66" t="s">
        <v>214</v>
      </c>
    </row>
  </sheetData>
  <mergeCells count="6">
    <mergeCell ref="A2:F2"/>
    <mergeCell ref="A3:F3"/>
    <mergeCell ref="A6:A8"/>
    <mergeCell ref="B6:F6"/>
    <mergeCell ref="B7:E7"/>
    <mergeCell ref="F7:F8"/>
  </mergeCells>
  <pageMargins left="1.55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G21"/>
  <sheetViews>
    <sheetView workbookViewId="0">
      <selection activeCell="A2" sqref="A2:F2"/>
    </sheetView>
  </sheetViews>
  <sheetFormatPr defaultColWidth="9.140625" defaultRowHeight="15.75" x14ac:dyDescent="0.25"/>
  <cols>
    <col min="1" max="1" width="12.7109375" style="7" customWidth="1"/>
    <col min="2" max="3" width="17" style="7" customWidth="1"/>
    <col min="4" max="4" width="19.5703125" style="7" customWidth="1"/>
    <col min="5" max="6" width="17" style="7" customWidth="1"/>
    <col min="7" max="16384" width="9.140625" style="3"/>
  </cols>
  <sheetData>
    <row r="1" spans="1:7" x14ac:dyDescent="0.25">
      <c r="A1" s="194" t="s">
        <v>63</v>
      </c>
      <c r="B1" s="194"/>
      <c r="C1" s="194"/>
      <c r="D1" s="194"/>
      <c r="E1" s="194"/>
      <c r="F1" s="194"/>
      <c r="G1" s="6"/>
    </row>
    <row r="2" spans="1:7" s="8" customFormat="1" x14ac:dyDescent="0.25">
      <c r="A2" s="195" t="s">
        <v>234</v>
      </c>
      <c r="B2" s="195"/>
      <c r="C2" s="195"/>
      <c r="D2" s="195"/>
      <c r="E2" s="195"/>
      <c r="F2" s="195"/>
    </row>
    <row r="4" spans="1:7" x14ac:dyDescent="0.25">
      <c r="A4" s="206" t="s">
        <v>42</v>
      </c>
      <c r="B4" s="217" t="s">
        <v>67</v>
      </c>
      <c r="C4" s="218"/>
      <c r="D4" s="218"/>
      <c r="E4" s="218"/>
      <c r="F4" s="219"/>
    </row>
    <row r="5" spans="1:7" x14ac:dyDescent="0.25">
      <c r="A5" s="207"/>
      <c r="B5" s="217" t="s">
        <v>58</v>
      </c>
      <c r="C5" s="218"/>
      <c r="D5" s="218"/>
      <c r="E5" s="218"/>
      <c r="F5" s="219"/>
    </row>
    <row r="6" spans="1:7" ht="63" x14ac:dyDescent="0.25">
      <c r="A6" s="208"/>
      <c r="B6" s="87" t="s">
        <v>59</v>
      </c>
      <c r="C6" s="87" t="s">
        <v>60</v>
      </c>
      <c r="D6" s="87" t="s">
        <v>61</v>
      </c>
      <c r="E6" s="87" t="s">
        <v>62</v>
      </c>
      <c r="F6" s="87" t="s">
        <v>0</v>
      </c>
    </row>
    <row r="7" spans="1:7" x14ac:dyDescent="0.25">
      <c r="A7" s="27">
        <v>1</v>
      </c>
      <c r="B7" s="27">
        <v>1323</v>
      </c>
      <c r="C7" s="27">
        <v>4819</v>
      </c>
      <c r="D7" s="27">
        <v>1082</v>
      </c>
      <c r="E7" s="27">
        <v>727</v>
      </c>
      <c r="F7" s="29">
        <f>SUM(B7:E7)</f>
        <v>7951</v>
      </c>
    </row>
    <row r="8" spans="1:7" x14ac:dyDescent="0.25">
      <c r="A8" s="27">
        <v>2</v>
      </c>
      <c r="B8" s="27">
        <v>1257</v>
      </c>
      <c r="C8" s="27">
        <v>4918</v>
      </c>
      <c r="D8" s="27">
        <v>1157</v>
      </c>
      <c r="E8" s="27">
        <v>731</v>
      </c>
      <c r="F8" s="29">
        <f t="shared" ref="F8:F18" si="0">SUM(B8:E8)</f>
        <v>8063</v>
      </c>
    </row>
    <row r="9" spans="1:7" x14ac:dyDescent="0.25">
      <c r="A9" s="27">
        <v>3</v>
      </c>
      <c r="B9" s="27">
        <v>1218</v>
      </c>
      <c r="C9" s="27">
        <v>4533</v>
      </c>
      <c r="D9" s="27">
        <v>819</v>
      </c>
      <c r="E9" s="27">
        <v>447</v>
      </c>
      <c r="F9" s="29">
        <f t="shared" si="0"/>
        <v>7017</v>
      </c>
    </row>
    <row r="10" spans="1:7" x14ac:dyDescent="0.25">
      <c r="A10" s="27">
        <v>4</v>
      </c>
      <c r="B10" s="27">
        <v>1068</v>
      </c>
      <c r="C10" s="27">
        <v>3318</v>
      </c>
      <c r="D10" s="27">
        <v>560</v>
      </c>
      <c r="E10" s="27">
        <v>292</v>
      </c>
      <c r="F10" s="29">
        <f t="shared" si="0"/>
        <v>5238</v>
      </c>
    </row>
    <row r="11" spans="1:7" x14ac:dyDescent="0.25">
      <c r="A11" s="27">
        <v>5</v>
      </c>
      <c r="B11" s="27">
        <v>765</v>
      </c>
      <c r="C11" s="27">
        <v>1900</v>
      </c>
      <c r="D11" s="27">
        <v>324</v>
      </c>
      <c r="E11" s="27">
        <v>93</v>
      </c>
      <c r="F11" s="29">
        <f t="shared" si="0"/>
        <v>3082</v>
      </c>
    </row>
    <row r="12" spans="1:7" x14ac:dyDescent="0.25">
      <c r="A12" s="27">
        <v>6</v>
      </c>
      <c r="B12" s="27">
        <v>553</v>
      </c>
      <c r="C12" s="27">
        <v>1143</v>
      </c>
      <c r="D12" s="27">
        <v>156</v>
      </c>
      <c r="E12" s="27">
        <v>53</v>
      </c>
      <c r="F12" s="29">
        <f t="shared" si="0"/>
        <v>1905</v>
      </c>
    </row>
    <row r="13" spans="1:7" x14ac:dyDescent="0.25">
      <c r="A13" s="27">
        <v>7</v>
      </c>
      <c r="B13" s="27">
        <v>300</v>
      </c>
      <c r="C13" s="27">
        <v>569</v>
      </c>
      <c r="D13" s="27">
        <v>89</v>
      </c>
      <c r="E13" s="27">
        <v>35</v>
      </c>
      <c r="F13" s="29">
        <f t="shared" si="0"/>
        <v>993</v>
      </c>
    </row>
    <row r="14" spans="1:7" x14ac:dyDescent="0.25">
      <c r="A14" s="27">
        <v>8</v>
      </c>
      <c r="B14" s="27">
        <v>154</v>
      </c>
      <c r="C14" s="27">
        <v>294</v>
      </c>
      <c r="D14" s="27">
        <v>37</v>
      </c>
      <c r="E14" s="27">
        <v>8</v>
      </c>
      <c r="F14" s="29">
        <f t="shared" si="0"/>
        <v>493</v>
      </c>
    </row>
    <row r="15" spans="1:7" x14ac:dyDescent="0.25">
      <c r="A15" s="27">
        <v>9</v>
      </c>
      <c r="B15" s="27">
        <v>85</v>
      </c>
      <c r="C15" s="27">
        <v>140</v>
      </c>
      <c r="D15" s="27">
        <v>28</v>
      </c>
      <c r="E15" s="27">
        <v>6</v>
      </c>
      <c r="F15" s="29">
        <f t="shared" si="0"/>
        <v>259</v>
      </c>
    </row>
    <row r="16" spans="1:7" x14ac:dyDescent="0.25">
      <c r="A16" s="27">
        <v>10</v>
      </c>
      <c r="B16" s="27">
        <v>28</v>
      </c>
      <c r="C16" s="27">
        <v>54</v>
      </c>
      <c r="D16" s="27">
        <v>15</v>
      </c>
      <c r="E16" s="27">
        <v>3</v>
      </c>
      <c r="F16" s="29">
        <f t="shared" si="0"/>
        <v>100</v>
      </c>
    </row>
    <row r="17" spans="1:6" x14ac:dyDescent="0.25">
      <c r="A17" s="27" t="s">
        <v>54</v>
      </c>
      <c r="B17" s="27">
        <v>19</v>
      </c>
      <c r="C17" s="27">
        <v>61</v>
      </c>
      <c r="D17" s="27">
        <v>8</v>
      </c>
      <c r="E17" s="27">
        <v>2</v>
      </c>
      <c r="F17" s="29">
        <f t="shared" si="0"/>
        <v>90</v>
      </c>
    </row>
    <row r="18" spans="1:6" x14ac:dyDescent="0.25">
      <c r="A18" s="27" t="s">
        <v>55</v>
      </c>
      <c r="B18" s="27">
        <v>547</v>
      </c>
      <c r="C18" s="27">
        <v>547</v>
      </c>
      <c r="D18" s="27">
        <v>135</v>
      </c>
      <c r="E18" s="27">
        <v>47</v>
      </c>
      <c r="F18" s="29">
        <f t="shared" si="0"/>
        <v>1276</v>
      </c>
    </row>
    <row r="19" spans="1:6" x14ac:dyDescent="0.25">
      <c r="A19" s="29" t="s">
        <v>0</v>
      </c>
      <c r="B19" s="29">
        <f>SUM(B7:B18)</f>
        <v>7317</v>
      </c>
      <c r="C19" s="29">
        <f t="shared" ref="C19:F19" si="1">SUM(C7:C18)</f>
        <v>22296</v>
      </c>
      <c r="D19" s="29">
        <f t="shared" si="1"/>
        <v>4410</v>
      </c>
      <c r="E19" s="29">
        <f t="shared" si="1"/>
        <v>2444</v>
      </c>
      <c r="F19" s="29">
        <f t="shared" si="1"/>
        <v>36467</v>
      </c>
    </row>
    <row r="21" spans="1:6" x14ac:dyDescent="0.25">
      <c r="A21" s="66" t="s">
        <v>214</v>
      </c>
    </row>
  </sheetData>
  <mergeCells count="5">
    <mergeCell ref="A2:F2"/>
    <mergeCell ref="A4:A6"/>
    <mergeCell ref="B4:F4"/>
    <mergeCell ref="B5:F5"/>
    <mergeCell ref="A1:F1"/>
  </mergeCells>
  <pageMargins left="1.38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F21"/>
  <sheetViews>
    <sheetView workbookViewId="0">
      <selection activeCell="A2" sqref="A2:F2"/>
    </sheetView>
  </sheetViews>
  <sheetFormatPr defaultColWidth="9.140625" defaultRowHeight="15.75" x14ac:dyDescent="0.25"/>
  <cols>
    <col min="1" max="1" width="16.140625" style="3" customWidth="1"/>
    <col min="2" max="3" width="14.5703125" style="3" customWidth="1"/>
    <col min="4" max="4" width="27.7109375" style="3" customWidth="1"/>
    <col min="5" max="6" width="14.5703125" style="3" customWidth="1"/>
    <col min="7" max="16384" width="9.140625" style="3"/>
  </cols>
  <sheetData>
    <row r="1" spans="1:6" x14ac:dyDescent="0.25">
      <c r="A1" s="194" t="s">
        <v>64</v>
      </c>
      <c r="B1" s="194"/>
      <c r="C1" s="194"/>
      <c r="D1" s="194"/>
      <c r="E1" s="194"/>
      <c r="F1" s="194"/>
    </row>
    <row r="2" spans="1:6" x14ac:dyDescent="0.25">
      <c r="A2" s="195" t="s">
        <v>235</v>
      </c>
      <c r="B2" s="195"/>
      <c r="C2" s="195"/>
      <c r="D2" s="195"/>
      <c r="E2" s="195"/>
      <c r="F2" s="195"/>
    </row>
    <row r="4" spans="1:6" x14ac:dyDescent="0.25">
      <c r="A4" s="206" t="s">
        <v>42</v>
      </c>
      <c r="B4" s="217" t="s">
        <v>67</v>
      </c>
      <c r="C4" s="218"/>
      <c r="D4" s="218"/>
      <c r="E4" s="218"/>
      <c r="F4" s="219"/>
    </row>
    <row r="5" spans="1:6" x14ac:dyDescent="0.25">
      <c r="A5" s="207"/>
      <c r="B5" s="217" t="s">
        <v>58</v>
      </c>
      <c r="C5" s="218"/>
      <c r="D5" s="218"/>
      <c r="E5" s="218"/>
      <c r="F5" s="219"/>
    </row>
    <row r="6" spans="1:6" ht="31.5" x14ac:dyDescent="0.25">
      <c r="A6" s="208"/>
      <c r="B6" s="87" t="s">
        <v>59</v>
      </c>
      <c r="C6" s="87" t="s">
        <v>60</v>
      </c>
      <c r="D6" s="87" t="s">
        <v>61</v>
      </c>
      <c r="E6" s="87" t="s">
        <v>62</v>
      </c>
      <c r="F6" s="87" t="s">
        <v>0</v>
      </c>
    </row>
    <row r="7" spans="1:6" x14ac:dyDescent="0.25">
      <c r="A7" s="27">
        <v>1</v>
      </c>
      <c r="B7" s="43">
        <f>1212+26+12+6</f>
        <v>1256</v>
      </c>
      <c r="C7" s="43">
        <f>2521+608+20</f>
        <v>3149</v>
      </c>
      <c r="D7" s="43">
        <f>1765+157+20</f>
        <v>1942</v>
      </c>
      <c r="E7" s="43">
        <f>1111+33+30+48</f>
        <v>1222</v>
      </c>
      <c r="F7" s="29">
        <f>SUM(B7:E7)</f>
        <v>7569</v>
      </c>
    </row>
    <row r="8" spans="1:6" x14ac:dyDescent="0.25">
      <c r="A8" s="27">
        <v>2</v>
      </c>
      <c r="B8" s="43">
        <f>1353+27</f>
        <v>1380</v>
      </c>
      <c r="C8" s="43">
        <f>2614+482</f>
        <v>3096</v>
      </c>
      <c r="D8" s="43">
        <f>2103+148</f>
        <v>2251</v>
      </c>
      <c r="E8" s="43">
        <v>1125</v>
      </c>
      <c r="F8" s="29">
        <f t="shared" ref="F8:F18" si="0">SUM(B8:E8)</f>
        <v>7852</v>
      </c>
    </row>
    <row r="9" spans="1:6" x14ac:dyDescent="0.25">
      <c r="A9" s="27">
        <v>3</v>
      </c>
      <c r="B9" s="43">
        <f>1146+15</f>
        <v>1161</v>
      </c>
      <c r="C9" s="43">
        <f>2317+187</f>
        <v>2504</v>
      </c>
      <c r="D9" s="43">
        <f>1495+40</f>
        <v>1535</v>
      </c>
      <c r="E9" s="43">
        <v>654</v>
      </c>
      <c r="F9" s="29">
        <f t="shared" si="0"/>
        <v>5854</v>
      </c>
    </row>
    <row r="10" spans="1:6" x14ac:dyDescent="0.25">
      <c r="A10" s="27">
        <v>4</v>
      </c>
      <c r="B10" s="43">
        <f>753+16</f>
        <v>769</v>
      </c>
      <c r="C10" s="43">
        <f>1388+67</f>
        <v>1455</v>
      </c>
      <c r="D10" s="43">
        <v>709</v>
      </c>
      <c r="E10" s="43">
        <f>258+13</f>
        <v>271</v>
      </c>
      <c r="F10" s="29">
        <f t="shared" si="0"/>
        <v>3204</v>
      </c>
    </row>
    <row r="11" spans="1:6" x14ac:dyDescent="0.25">
      <c r="A11" s="27">
        <v>5</v>
      </c>
      <c r="B11" s="43">
        <f>542+12</f>
        <v>554</v>
      </c>
      <c r="C11" s="43">
        <f>846+43</f>
        <v>889</v>
      </c>
      <c r="D11" s="43">
        <v>316</v>
      </c>
      <c r="E11" s="43">
        <f>125+7</f>
        <v>132</v>
      </c>
      <c r="F11" s="29">
        <f t="shared" si="0"/>
        <v>1891</v>
      </c>
    </row>
    <row r="12" spans="1:6" x14ac:dyDescent="0.25">
      <c r="A12" s="27">
        <v>6</v>
      </c>
      <c r="B12" s="43">
        <v>285</v>
      </c>
      <c r="C12" s="43">
        <v>386</v>
      </c>
      <c r="D12" s="43">
        <v>151</v>
      </c>
      <c r="E12" s="43">
        <v>33</v>
      </c>
      <c r="F12" s="29">
        <f t="shared" si="0"/>
        <v>855</v>
      </c>
    </row>
    <row r="13" spans="1:6" x14ac:dyDescent="0.25">
      <c r="A13" s="27">
        <v>7</v>
      </c>
      <c r="B13" s="43">
        <v>108</v>
      </c>
      <c r="C13" s="43">
        <v>228</v>
      </c>
      <c r="D13" s="43">
        <v>94</v>
      </c>
      <c r="E13" s="43">
        <v>16</v>
      </c>
      <c r="F13" s="29">
        <f t="shared" si="0"/>
        <v>446</v>
      </c>
    </row>
    <row r="14" spans="1:6" x14ac:dyDescent="0.25">
      <c r="A14" s="27">
        <v>8</v>
      </c>
      <c r="B14" s="43">
        <v>56</v>
      </c>
      <c r="C14" s="43">
        <v>51</v>
      </c>
      <c r="D14" s="43">
        <v>23</v>
      </c>
      <c r="E14" s="43">
        <v>11</v>
      </c>
      <c r="F14" s="29">
        <f t="shared" si="0"/>
        <v>141</v>
      </c>
    </row>
    <row r="15" spans="1:6" x14ac:dyDescent="0.25">
      <c r="A15" s="27">
        <v>9</v>
      </c>
      <c r="B15" s="43">
        <v>19</v>
      </c>
      <c r="C15" s="43">
        <v>38</v>
      </c>
      <c r="D15" s="43">
        <v>12</v>
      </c>
      <c r="E15" s="43">
        <v>3</v>
      </c>
      <c r="F15" s="29">
        <f t="shared" si="0"/>
        <v>72</v>
      </c>
    </row>
    <row r="16" spans="1:6" x14ac:dyDescent="0.25">
      <c r="A16" s="27">
        <v>10</v>
      </c>
      <c r="B16" s="43">
        <v>9</v>
      </c>
      <c r="C16" s="43">
        <v>12</v>
      </c>
      <c r="D16" s="43">
        <v>7</v>
      </c>
      <c r="E16" s="43">
        <v>2</v>
      </c>
      <c r="F16" s="29">
        <f t="shared" si="0"/>
        <v>30</v>
      </c>
    </row>
    <row r="17" spans="1:6" x14ac:dyDescent="0.25">
      <c r="A17" s="27" t="s">
        <v>54</v>
      </c>
      <c r="B17" s="43">
        <v>5</v>
      </c>
      <c r="C17" s="43">
        <v>4</v>
      </c>
      <c r="D17" s="43">
        <v>2</v>
      </c>
      <c r="E17" s="43">
        <v>1</v>
      </c>
      <c r="F17" s="29">
        <f t="shared" si="0"/>
        <v>12</v>
      </c>
    </row>
    <row r="18" spans="1:6" x14ac:dyDescent="0.25">
      <c r="A18" s="27" t="s">
        <v>55</v>
      </c>
      <c r="B18" s="43">
        <v>549</v>
      </c>
      <c r="C18" s="43">
        <v>382</v>
      </c>
      <c r="D18" s="43">
        <v>172</v>
      </c>
      <c r="E18" s="43">
        <v>73</v>
      </c>
      <c r="F18" s="29">
        <f t="shared" si="0"/>
        <v>1176</v>
      </c>
    </row>
    <row r="19" spans="1:6" x14ac:dyDescent="0.25">
      <c r="A19" s="29" t="s">
        <v>0</v>
      </c>
      <c r="B19" s="29">
        <f>SUM(B7:B18)</f>
        <v>6151</v>
      </c>
      <c r="C19" s="29">
        <f>SUM(C7:C18)</f>
        <v>12194</v>
      </c>
      <c r="D19" s="29">
        <f>SUM(D7:D18)</f>
        <v>7214</v>
      </c>
      <c r="E19" s="29">
        <f>SUM(E7:E18)</f>
        <v>3543</v>
      </c>
      <c r="F19" s="29">
        <f>SUM(B19:E19)</f>
        <v>29102</v>
      </c>
    </row>
    <row r="21" spans="1:6" x14ac:dyDescent="0.25">
      <c r="A21" s="66" t="s">
        <v>214</v>
      </c>
    </row>
  </sheetData>
  <mergeCells count="5">
    <mergeCell ref="A1:F1"/>
    <mergeCell ref="A2:F2"/>
    <mergeCell ref="A4:A6"/>
    <mergeCell ref="B4:F4"/>
    <mergeCell ref="B5:F5"/>
  </mergeCells>
  <pageMargins left="1.2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2:O21"/>
  <sheetViews>
    <sheetView workbookViewId="0">
      <selection activeCell="A3" sqref="A3:K3"/>
    </sheetView>
  </sheetViews>
  <sheetFormatPr defaultColWidth="9.140625" defaultRowHeight="15.75" x14ac:dyDescent="0.25"/>
  <cols>
    <col min="1" max="1" width="11" style="3" customWidth="1"/>
    <col min="2" max="2" width="11.42578125" style="3" customWidth="1"/>
    <col min="3" max="3" width="11.140625" style="3" customWidth="1"/>
    <col min="4" max="4" width="10.85546875" style="3" customWidth="1"/>
    <col min="5" max="5" width="10.28515625" style="3" customWidth="1"/>
    <col min="6" max="7" width="13.42578125" style="3" customWidth="1"/>
    <col min="8" max="8" width="12" style="3" customWidth="1"/>
    <col min="9" max="9" width="9.28515625" style="3" customWidth="1"/>
    <col min="10" max="10" width="10.28515625" style="3" customWidth="1"/>
    <col min="11" max="11" width="11" style="3" customWidth="1"/>
    <col min="12" max="16384" width="9.140625" style="3"/>
  </cols>
  <sheetData>
    <row r="2" spans="1:15" s="4" customFormat="1" ht="21.95" customHeight="1" x14ac:dyDescent="0.25">
      <c r="A2" s="194" t="s">
        <v>65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6"/>
      <c r="M2" s="6"/>
      <c r="N2" s="6"/>
      <c r="O2" s="6"/>
    </row>
    <row r="3" spans="1:15" s="4" customFormat="1" x14ac:dyDescent="0.25">
      <c r="A3" s="195" t="s">
        <v>236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</row>
    <row r="6" spans="1:15" ht="126" x14ac:dyDescent="0.25">
      <c r="A6" s="95" t="s">
        <v>42</v>
      </c>
      <c r="B6" s="95" t="s">
        <v>68</v>
      </c>
      <c r="C6" s="95" t="s">
        <v>69</v>
      </c>
      <c r="D6" s="95" t="s">
        <v>70</v>
      </c>
      <c r="E6" s="95" t="s">
        <v>71</v>
      </c>
      <c r="F6" s="95" t="s">
        <v>72</v>
      </c>
      <c r="G6" s="95" t="s">
        <v>73</v>
      </c>
      <c r="H6" s="95" t="s">
        <v>74</v>
      </c>
      <c r="I6" s="95" t="s">
        <v>75</v>
      </c>
      <c r="J6" s="95" t="s">
        <v>76</v>
      </c>
      <c r="K6" s="95" t="s">
        <v>0</v>
      </c>
    </row>
    <row r="7" spans="1:15" x14ac:dyDescent="0.25">
      <c r="A7" s="27">
        <v>1</v>
      </c>
      <c r="B7" s="27">
        <v>86</v>
      </c>
      <c r="C7" s="27">
        <v>35</v>
      </c>
      <c r="D7" s="27">
        <v>120</v>
      </c>
      <c r="E7" s="27">
        <v>160</v>
      </c>
      <c r="F7" s="27">
        <v>3325</v>
      </c>
      <c r="G7" s="27">
        <v>164</v>
      </c>
      <c r="H7" s="27">
        <v>637</v>
      </c>
      <c r="I7" s="27">
        <v>1326</v>
      </c>
      <c r="J7" s="27">
        <v>2098</v>
      </c>
      <c r="K7" s="29">
        <f>SUM(B7:J7)</f>
        <v>7951</v>
      </c>
    </row>
    <row r="8" spans="1:15" x14ac:dyDescent="0.25">
      <c r="A8" s="27">
        <v>2</v>
      </c>
      <c r="B8" s="27">
        <v>147</v>
      </c>
      <c r="C8" s="27">
        <v>17</v>
      </c>
      <c r="D8" s="27">
        <v>146</v>
      </c>
      <c r="E8" s="27">
        <v>147</v>
      </c>
      <c r="F8" s="27">
        <v>3433</v>
      </c>
      <c r="G8" s="27">
        <v>191</v>
      </c>
      <c r="H8" s="27">
        <v>590</v>
      </c>
      <c r="I8" s="27">
        <v>1175</v>
      </c>
      <c r="J8" s="27">
        <v>2217</v>
      </c>
      <c r="K8" s="29">
        <f t="shared" ref="K8:K19" si="0">SUM(B8:J8)</f>
        <v>8063</v>
      </c>
    </row>
    <row r="9" spans="1:15" x14ac:dyDescent="0.25">
      <c r="A9" s="27">
        <v>3</v>
      </c>
      <c r="B9" s="27">
        <v>58</v>
      </c>
      <c r="C9" s="27">
        <v>25</v>
      </c>
      <c r="D9" s="27">
        <v>96</v>
      </c>
      <c r="E9" s="27">
        <v>101</v>
      </c>
      <c r="F9" s="27">
        <v>3049</v>
      </c>
      <c r="G9" s="27">
        <v>167</v>
      </c>
      <c r="H9" s="27">
        <v>533</v>
      </c>
      <c r="I9" s="27">
        <v>1021</v>
      </c>
      <c r="J9" s="27">
        <v>1967</v>
      </c>
      <c r="K9" s="29">
        <f t="shared" si="0"/>
        <v>7017</v>
      </c>
    </row>
    <row r="10" spans="1:15" x14ac:dyDescent="0.25">
      <c r="A10" s="27">
        <v>4</v>
      </c>
      <c r="B10" s="27">
        <v>45</v>
      </c>
      <c r="C10" s="27">
        <v>45</v>
      </c>
      <c r="D10" s="27">
        <v>51</v>
      </c>
      <c r="E10" s="27">
        <v>42</v>
      </c>
      <c r="F10" s="27">
        <v>2339</v>
      </c>
      <c r="G10" s="27">
        <v>50</v>
      </c>
      <c r="H10" s="27">
        <v>375</v>
      </c>
      <c r="I10" s="27">
        <v>742</v>
      </c>
      <c r="J10" s="27">
        <v>1549</v>
      </c>
      <c r="K10" s="29">
        <f t="shared" si="0"/>
        <v>5238</v>
      </c>
    </row>
    <row r="11" spans="1:15" x14ac:dyDescent="0.25">
      <c r="A11" s="27">
        <v>5</v>
      </c>
      <c r="B11" s="27">
        <v>16</v>
      </c>
      <c r="C11" s="27">
        <v>15</v>
      </c>
      <c r="D11" s="27">
        <v>23</v>
      </c>
      <c r="E11" s="27">
        <v>37</v>
      </c>
      <c r="F11" s="27">
        <v>1098</v>
      </c>
      <c r="G11" s="27">
        <v>106</v>
      </c>
      <c r="H11" s="27">
        <v>206</v>
      </c>
      <c r="I11" s="27">
        <v>594</v>
      </c>
      <c r="J11" s="27">
        <v>987</v>
      </c>
      <c r="K11" s="29">
        <f t="shared" si="0"/>
        <v>3082</v>
      </c>
    </row>
    <row r="12" spans="1:15" x14ac:dyDescent="0.25">
      <c r="A12" s="27">
        <v>6</v>
      </c>
      <c r="B12" s="27">
        <v>4</v>
      </c>
      <c r="C12" s="27">
        <v>28</v>
      </c>
      <c r="D12" s="27">
        <v>31</v>
      </c>
      <c r="E12" s="27">
        <v>28</v>
      </c>
      <c r="F12" s="27">
        <v>630</v>
      </c>
      <c r="G12" s="27">
        <v>23</v>
      </c>
      <c r="H12" s="27">
        <v>233</v>
      </c>
      <c r="I12" s="27">
        <v>327</v>
      </c>
      <c r="J12" s="27">
        <v>601</v>
      </c>
      <c r="K12" s="29">
        <f t="shared" si="0"/>
        <v>1905</v>
      </c>
    </row>
    <row r="13" spans="1:15" x14ac:dyDescent="0.25">
      <c r="A13" s="27">
        <v>7</v>
      </c>
      <c r="B13" s="27">
        <v>5</v>
      </c>
      <c r="C13" s="27">
        <v>23</v>
      </c>
      <c r="D13" s="27">
        <v>41</v>
      </c>
      <c r="E13" s="27">
        <v>45</v>
      </c>
      <c r="F13" s="27">
        <v>227</v>
      </c>
      <c r="G13" s="27">
        <v>36</v>
      </c>
      <c r="H13" s="27">
        <v>143</v>
      </c>
      <c r="I13" s="27">
        <v>119</v>
      </c>
      <c r="J13" s="27">
        <v>354</v>
      </c>
      <c r="K13" s="29">
        <f t="shared" si="0"/>
        <v>993</v>
      </c>
    </row>
    <row r="14" spans="1:15" x14ac:dyDescent="0.25">
      <c r="A14" s="27">
        <v>8</v>
      </c>
      <c r="B14" s="27">
        <v>2</v>
      </c>
      <c r="C14" s="27">
        <v>2</v>
      </c>
      <c r="D14" s="27">
        <v>8</v>
      </c>
      <c r="E14" s="27">
        <v>1</v>
      </c>
      <c r="F14" s="27">
        <v>99</v>
      </c>
      <c r="G14" s="27">
        <v>0</v>
      </c>
      <c r="H14" s="27">
        <v>111</v>
      </c>
      <c r="I14" s="27">
        <v>85</v>
      </c>
      <c r="J14" s="27">
        <v>185</v>
      </c>
      <c r="K14" s="29">
        <f t="shared" si="0"/>
        <v>493</v>
      </c>
    </row>
    <row r="15" spans="1:15" x14ac:dyDescent="0.25">
      <c r="A15" s="27">
        <v>9</v>
      </c>
      <c r="B15" s="27">
        <v>1</v>
      </c>
      <c r="C15" s="27">
        <v>12</v>
      </c>
      <c r="D15" s="27">
        <v>4</v>
      </c>
      <c r="E15" s="27">
        <v>1</v>
      </c>
      <c r="F15" s="27">
        <v>36</v>
      </c>
      <c r="G15" s="27">
        <v>0</v>
      </c>
      <c r="H15" s="27">
        <v>47</v>
      </c>
      <c r="I15" s="27">
        <v>28</v>
      </c>
      <c r="J15" s="27">
        <v>130</v>
      </c>
      <c r="K15" s="29">
        <f t="shared" si="0"/>
        <v>259</v>
      </c>
    </row>
    <row r="16" spans="1:15" x14ac:dyDescent="0.25">
      <c r="A16" s="27">
        <v>10</v>
      </c>
      <c r="B16" s="27">
        <v>0</v>
      </c>
      <c r="C16" s="27">
        <v>1</v>
      </c>
      <c r="D16" s="27">
        <v>3</v>
      </c>
      <c r="E16" s="27">
        <v>2</v>
      </c>
      <c r="F16" s="27">
        <v>18</v>
      </c>
      <c r="G16" s="27">
        <v>0</v>
      </c>
      <c r="H16" s="27">
        <v>27</v>
      </c>
      <c r="I16" s="27">
        <v>22</v>
      </c>
      <c r="J16" s="27">
        <v>27</v>
      </c>
      <c r="K16" s="29">
        <f t="shared" si="0"/>
        <v>100</v>
      </c>
    </row>
    <row r="17" spans="1:11" x14ac:dyDescent="0.25">
      <c r="A17" s="34" t="s">
        <v>54</v>
      </c>
      <c r="B17" s="27">
        <v>0</v>
      </c>
      <c r="C17" s="27">
        <v>1</v>
      </c>
      <c r="D17" s="27">
        <v>0</v>
      </c>
      <c r="E17" s="27">
        <v>0</v>
      </c>
      <c r="F17" s="27">
        <v>14</v>
      </c>
      <c r="G17" s="27">
        <v>1</v>
      </c>
      <c r="H17" s="27">
        <v>10</v>
      </c>
      <c r="I17" s="27">
        <v>21</v>
      </c>
      <c r="J17" s="27">
        <v>43</v>
      </c>
      <c r="K17" s="29">
        <f t="shared" si="0"/>
        <v>90</v>
      </c>
    </row>
    <row r="18" spans="1:11" x14ac:dyDescent="0.25">
      <c r="A18" s="34" t="s">
        <v>55</v>
      </c>
      <c r="B18" s="27">
        <v>1</v>
      </c>
      <c r="C18" s="27">
        <v>5</v>
      </c>
      <c r="D18" s="27">
        <v>11</v>
      </c>
      <c r="E18" s="27">
        <v>14</v>
      </c>
      <c r="F18" s="27">
        <v>104</v>
      </c>
      <c r="G18" s="27">
        <v>9</v>
      </c>
      <c r="H18" s="27">
        <v>379</v>
      </c>
      <c r="I18" s="27">
        <v>75</v>
      </c>
      <c r="J18" s="27">
        <v>678</v>
      </c>
      <c r="K18" s="29">
        <f t="shared" si="0"/>
        <v>1276</v>
      </c>
    </row>
    <row r="19" spans="1:11" x14ac:dyDescent="0.25">
      <c r="A19" s="29" t="s">
        <v>0</v>
      </c>
      <c r="B19" s="29">
        <f t="shared" ref="B19:J19" si="1">SUM(B7:B18)</f>
        <v>365</v>
      </c>
      <c r="C19" s="29">
        <f t="shared" si="1"/>
        <v>209</v>
      </c>
      <c r="D19" s="29">
        <f t="shared" si="1"/>
        <v>534</v>
      </c>
      <c r="E19" s="29">
        <f t="shared" si="1"/>
        <v>578</v>
      </c>
      <c r="F19" s="29">
        <f t="shared" si="1"/>
        <v>14372</v>
      </c>
      <c r="G19" s="29">
        <f t="shared" si="1"/>
        <v>747</v>
      </c>
      <c r="H19" s="29">
        <f t="shared" si="1"/>
        <v>3291</v>
      </c>
      <c r="I19" s="29">
        <f t="shared" si="1"/>
        <v>5535</v>
      </c>
      <c r="J19" s="29">
        <f t="shared" si="1"/>
        <v>10836</v>
      </c>
      <c r="K19" s="29">
        <f t="shared" si="0"/>
        <v>36467</v>
      </c>
    </row>
    <row r="21" spans="1:11" x14ac:dyDescent="0.25">
      <c r="A21" s="66" t="s">
        <v>214</v>
      </c>
    </row>
  </sheetData>
  <mergeCells count="2">
    <mergeCell ref="A2:K2"/>
    <mergeCell ref="A3:K3"/>
  </mergeCells>
  <pageMargins left="0.7" right="0.25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O20"/>
  <sheetViews>
    <sheetView workbookViewId="0">
      <selection activeCell="A2" sqref="A2:K2"/>
    </sheetView>
  </sheetViews>
  <sheetFormatPr defaultColWidth="9.140625" defaultRowHeight="15.75" x14ac:dyDescent="0.25"/>
  <cols>
    <col min="1" max="1" width="9.7109375" style="3" customWidth="1"/>
    <col min="2" max="2" width="16.7109375" style="3" customWidth="1"/>
    <col min="3" max="3" width="13.42578125" style="3" customWidth="1"/>
    <col min="4" max="4" width="9.7109375" style="3" customWidth="1"/>
    <col min="5" max="5" width="9" style="3" customWidth="1"/>
    <col min="6" max="6" width="12.42578125" style="3" customWidth="1"/>
    <col min="7" max="7" width="19.42578125" style="3" customWidth="1"/>
    <col min="8" max="8" width="15.28515625" style="3" customWidth="1"/>
    <col min="9" max="9" width="9.5703125" style="3" customWidth="1"/>
    <col min="10" max="10" width="9.85546875" style="3" customWidth="1"/>
    <col min="11" max="11" width="10.5703125" style="3" customWidth="1"/>
    <col min="12" max="16384" width="9.140625" style="3"/>
  </cols>
  <sheetData>
    <row r="1" spans="1:15" s="4" customFormat="1" ht="17.850000000000001" customHeight="1" x14ac:dyDescent="0.25">
      <c r="A1" s="194" t="s">
        <v>66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6"/>
      <c r="M1" s="6"/>
      <c r="N1" s="6"/>
      <c r="O1" s="6"/>
    </row>
    <row r="2" spans="1:15" s="4" customFormat="1" x14ac:dyDescent="0.25">
      <c r="A2" s="195" t="s">
        <v>237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5" spans="1:15" ht="110.25" x14ac:dyDescent="0.25">
      <c r="A5" s="95" t="s">
        <v>42</v>
      </c>
      <c r="B5" s="95" t="s">
        <v>68</v>
      </c>
      <c r="C5" s="95" t="s">
        <v>69</v>
      </c>
      <c r="D5" s="95" t="s">
        <v>70</v>
      </c>
      <c r="E5" s="95" t="s">
        <v>71</v>
      </c>
      <c r="F5" s="95" t="s">
        <v>72</v>
      </c>
      <c r="G5" s="95" t="s">
        <v>73</v>
      </c>
      <c r="H5" s="95" t="s">
        <v>74</v>
      </c>
      <c r="I5" s="95" t="s">
        <v>75</v>
      </c>
      <c r="J5" s="95" t="s">
        <v>76</v>
      </c>
      <c r="K5" s="95" t="s">
        <v>0</v>
      </c>
    </row>
    <row r="6" spans="1:15" x14ac:dyDescent="0.25">
      <c r="A6" s="27">
        <v>1</v>
      </c>
      <c r="B6" s="27">
        <v>333</v>
      </c>
      <c r="C6" s="27">
        <v>646</v>
      </c>
      <c r="D6" s="27">
        <v>232</v>
      </c>
      <c r="E6" s="27">
        <v>268</v>
      </c>
      <c r="F6" s="27">
        <v>806</v>
      </c>
      <c r="G6" s="27">
        <v>153</v>
      </c>
      <c r="H6" s="27">
        <v>2537</v>
      </c>
      <c r="I6" s="27">
        <v>1667</v>
      </c>
      <c r="J6" s="27">
        <v>927</v>
      </c>
      <c r="K6" s="29">
        <f t="shared" ref="K6:K17" si="0">SUM(B6:J6)</f>
        <v>7569</v>
      </c>
    </row>
    <row r="7" spans="1:15" x14ac:dyDescent="0.25">
      <c r="A7" s="27">
        <v>2</v>
      </c>
      <c r="B7" s="27">
        <v>436</v>
      </c>
      <c r="C7" s="27">
        <v>104</v>
      </c>
      <c r="D7" s="27">
        <v>458</v>
      </c>
      <c r="E7" s="27">
        <v>247</v>
      </c>
      <c r="F7" s="27">
        <v>671</v>
      </c>
      <c r="G7" s="27">
        <v>455</v>
      </c>
      <c r="H7" s="27">
        <v>2530</v>
      </c>
      <c r="I7" s="27">
        <v>549</v>
      </c>
      <c r="J7" s="27">
        <v>2402</v>
      </c>
      <c r="K7" s="29">
        <f t="shared" si="0"/>
        <v>7852</v>
      </c>
    </row>
    <row r="8" spans="1:15" x14ac:dyDescent="0.25">
      <c r="A8" s="27">
        <v>3</v>
      </c>
      <c r="B8" s="27">
        <v>79</v>
      </c>
      <c r="C8" s="27">
        <v>80</v>
      </c>
      <c r="D8" s="27">
        <v>459</v>
      </c>
      <c r="E8" s="27">
        <v>171</v>
      </c>
      <c r="F8" s="27">
        <v>514</v>
      </c>
      <c r="G8" s="27">
        <v>723</v>
      </c>
      <c r="H8" s="27">
        <v>2290</v>
      </c>
      <c r="I8" s="27">
        <v>350</v>
      </c>
      <c r="J8" s="27">
        <v>1188</v>
      </c>
      <c r="K8" s="29">
        <f t="shared" si="0"/>
        <v>5854</v>
      </c>
    </row>
    <row r="9" spans="1:15" x14ac:dyDescent="0.25">
      <c r="A9" s="27">
        <v>4</v>
      </c>
      <c r="B9" s="27">
        <v>37</v>
      </c>
      <c r="C9" s="27">
        <v>25</v>
      </c>
      <c r="D9" s="27">
        <v>206</v>
      </c>
      <c r="E9" s="27">
        <v>77</v>
      </c>
      <c r="F9" s="27">
        <v>283</v>
      </c>
      <c r="G9" s="27">
        <v>232</v>
      </c>
      <c r="H9" s="27">
        <v>1561</v>
      </c>
      <c r="I9" s="27">
        <v>298</v>
      </c>
      <c r="J9" s="27">
        <v>485</v>
      </c>
      <c r="K9" s="29">
        <f t="shared" si="0"/>
        <v>3204</v>
      </c>
    </row>
    <row r="10" spans="1:15" x14ac:dyDescent="0.25">
      <c r="A10" s="27">
        <v>5</v>
      </c>
      <c r="B10" s="27">
        <v>24</v>
      </c>
      <c r="C10" s="27">
        <v>15</v>
      </c>
      <c r="D10" s="27">
        <v>153</v>
      </c>
      <c r="E10" s="27">
        <v>54</v>
      </c>
      <c r="F10" s="27">
        <v>246</v>
      </c>
      <c r="G10" s="27">
        <v>126</v>
      </c>
      <c r="H10" s="27">
        <v>754</v>
      </c>
      <c r="I10" s="27">
        <v>178</v>
      </c>
      <c r="J10" s="27">
        <v>341</v>
      </c>
      <c r="K10" s="29">
        <f t="shared" si="0"/>
        <v>1891</v>
      </c>
    </row>
    <row r="11" spans="1:15" x14ac:dyDescent="0.25">
      <c r="A11" s="27">
        <v>6</v>
      </c>
      <c r="B11" s="27">
        <v>3</v>
      </c>
      <c r="C11" s="27">
        <v>0</v>
      </c>
      <c r="D11" s="27">
        <v>63</v>
      </c>
      <c r="E11" s="27">
        <v>33</v>
      </c>
      <c r="F11" s="27">
        <v>108</v>
      </c>
      <c r="G11" s="27">
        <v>32</v>
      </c>
      <c r="H11" s="27">
        <v>327</v>
      </c>
      <c r="I11" s="27">
        <v>136</v>
      </c>
      <c r="J11" s="27">
        <v>153</v>
      </c>
      <c r="K11" s="29">
        <f t="shared" si="0"/>
        <v>855</v>
      </c>
    </row>
    <row r="12" spans="1:15" x14ac:dyDescent="0.25">
      <c r="A12" s="27">
        <v>7</v>
      </c>
      <c r="B12" s="27">
        <v>2</v>
      </c>
      <c r="C12" s="27">
        <v>1</v>
      </c>
      <c r="D12" s="27">
        <v>28</v>
      </c>
      <c r="E12" s="27">
        <v>24</v>
      </c>
      <c r="F12" s="27">
        <v>79</v>
      </c>
      <c r="G12" s="27">
        <v>26</v>
      </c>
      <c r="H12" s="27">
        <v>164</v>
      </c>
      <c r="I12" s="27">
        <v>59</v>
      </c>
      <c r="J12" s="27">
        <v>63</v>
      </c>
      <c r="K12" s="29">
        <f t="shared" si="0"/>
        <v>446</v>
      </c>
    </row>
    <row r="13" spans="1:15" x14ac:dyDescent="0.25">
      <c r="A13" s="27">
        <v>8</v>
      </c>
      <c r="B13" s="27">
        <v>5</v>
      </c>
      <c r="C13" s="27">
        <v>1</v>
      </c>
      <c r="D13" s="27">
        <v>13</v>
      </c>
      <c r="E13" s="27">
        <v>8</v>
      </c>
      <c r="F13" s="27">
        <v>32</v>
      </c>
      <c r="G13" s="27">
        <v>13</v>
      </c>
      <c r="H13" s="27">
        <v>48</v>
      </c>
      <c r="I13" s="27">
        <v>14</v>
      </c>
      <c r="J13" s="27">
        <v>7</v>
      </c>
      <c r="K13" s="29">
        <f t="shared" si="0"/>
        <v>141</v>
      </c>
    </row>
    <row r="14" spans="1:15" x14ac:dyDescent="0.25">
      <c r="A14" s="27">
        <v>9</v>
      </c>
      <c r="B14" s="27">
        <v>0</v>
      </c>
      <c r="C14" s="27">
        <v>0</v>
      </c>
      <c r="D14" s="27">
        <v>7</v>
      </c>
      <c r="E14" s="27">
        <v>4</v>
      </c>
      <c r="F14" s="27">
        <v>22</v>
      </c>
      <c r="G14" s="27">
        <v>4</v>
      </c>
      <c r="H14" s="27">
        <v>21</v>
      </c>
      <c r="I14" s="27">
        <v>5</v>
      </c>
      <c r="J14" s="27">
        <v>9</v>
      </c>
      <c r="K14" s="29">
        <f t="shared" si="0"/>
        <v>72</v>
      </c>
    </row>
    <row r="15" spans="1:15" x14ac:dyDescent="0.25">
      <c r="A15" s="27">
        <v>10</v>
      </c>
      <c r="B15" s="27">
        <v>0</v>
      </c>
      <c r="C15" s="27">
        <v>0</v>
      </c>
      <c r="D15" s="27">
        <v>4</v>
      </c>
      <c r="E15" s="27">
        <v>0</v>
      </c>
      <c r="F15" s="27">
        <v>7</v>
      </c>
      <c r="G15" s="27">
        <v>3</v>
      </c>
      <c r="H15" s="27">
        <v>10</v>
      </c>
      <c r="I15" s="27">
        <v>5</v>
      </c>
      <c r="J15" s="27">
        <v>1</v>
      </c>
      <c r="K15" s="29">
        <f t="shared" si="0"/>
        <v>30</v>
      </c>
    </row>
    <row r="16" spans="1:15" x14ac:dyDescent="0.25">
      <c r="A16" s="34" t="s">
        <v>54</v>
      </c>
      <c r="B16" s="27">
        <v>0</v>
      </c>
      <c r="C16" s="27">
        <v>0</v>
      </c>
      <c r="D16" s="27">
        <v>0</v>
      </c>
      <c r="E16" s="27">
        <v>0</v>
      </c>
      <c r="F16" s="27">
        <v>3</v>
      </c>
      <c r="G16" s="27">
        <v>0</v>
      </c>
      <c r="H16" s="27">
        <v>5</v>
      </c>
      <c r="I16" s="27">
        <v>2</v>
      </c>
      <c r="J16" s="27">
        <v>2</v>
      </c>
      <c r="K16" s="29">
        <f t="shared" si="0"/>
        <v>12</v>
      </c>
    </row>
    <row r="17" spans="1:11" ht="31.5" x14ac:dyDescent="0.25">
      <c r="A17" s="34" t="s">
        <v>55</v>
      </c>
      <c r="B17" s="27">
        <v>26</v>
      </c>
      <c r="C17" s="27">
        <v>7</v>
      </c>
      <c r="D17" s="27">
        <v>79</v>
      </c>
      <c r="E17" s="27">
        <v>20</v>
      </c>
      <c r="F17" s="27">
        <v>46</v>
      </c>
      <c r="G17" s="27">
        <v>81</v>
      </c>
      <c r="H17" s="27">
        <v>716</v>
      </c>
      <c r="I17" s="27">
        <v>86</v>
      </c>
      <c r="J17" s="27">
        <v>115</v>
      </c>
      <c r="K17" s="29">
        <f t="shared" si="0"/>
        <v>1176</v>
      </c>
    </row>
    <row r="18" spans="1:11" x14ac:dyDescent="0.25">
      <c r="A18" s="29" t="s">
        <v>0</v>
      </c>
      <c r="B18" s="29">
        <f t="shared" ref="B18:J18" si="1">SUM(B6:B17)</f>
        <v>945</v>
      </c>
      <c r="C18" s="29">
        <f t="shared" si="1"/>
        <v>879</v>
      </c>
      <c r="D18" s="29">
        <f t="shared" si="1"/>
        <v>1702</v>
      </c>
      <c r="E18" s="29">
        <f t="shared" si="1"/>
        <v>906</v>
      </c>
      <c r="F18" s="29">
        <f t="shared" si="1"/>
        <v>2817</v>
      </c>
      <c r="G18" s="29">
        <f t="shared" si="1"/>
        <v>1848</v>
      </c>
      <c r="H18" s="29">
        <f t="shared" si="1"/>
        <v>10963</v>
      </c>
      <c r="I18" s="29">
        <f t="shared" si="1"/>
        <v>3349</v>
      </c>
      <c r="J18" s="29">
        <f t="shared" si="1"/>
        <v>5693</v>
      </c>
      <c r="K18" s="29">
        <f>SUM(B18:J18)</f>
        <v>29102</v>
      </c>
    </row>
    <row r="20" spans="1:11" x14ac:dyDescent="0.25">
      <c r="A20" s="66" t="s">
        <v>214</v>
      </c>
    </row>
  </sheetData>
  <mergeCells count="2">
    <mergeCell ref="A1:K1"/>
    <mergeCell ref="A2:K2"/>
  </mergeCells>
  <pageMargins left="0.47" right="0.23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F20"/>
  <sheetViews>
    <sheetView workbookViewId="0">
      <selection activeCell="A2" sqref="A2:F2"/>
    </sheetView>
  </sheetViews>
  <sheetFormatPr defaultColWidth="9.140625" defaultRowHeight="15.75" x14ac:dyDescent="0.25"/>
  <cols>
    <col min="1" max="1" width="12.5703125" style="3" customWidth="1"/>
    <col min="2" max="2" width="17.7109375" style="3" customWidth="1"/>
    <col min="3" max="3" width="17.5703125" style="3" customWidth="1"/>
    <col min="4" max="4" width="18.140625" style="3" customWidth="1"/>
    <col min="5" max="5" width="17.42578125" style="3" customWidth="1"/>
    <col min="6" max="6" width="18.140625" style="3" customWidth="1"/>
    <col min="7" max="7" width="9.140625" style="3"/>
    <col min="8" max="8" width="17" style="3" customWidth="1"/>
    <col min="9" max="16384" width="9.140625" style="3"/>
  </cols>
  <sheetData>
    <row r="1" spans="1:6" s="33" customFormat="1" ht="21" customHeight="1" x14ac:dyDescent="0.25">
      <c r="A1" s="195" t="s">
        <v>244</v>
      </c>
      <c r="B1" s="195"/>
      <c r="C1" s="195"/>
      <c r="D1" s="195"/>
      <c r="E1" s="195"/>
      <c r="F1" s="195"/>
    </row>
    <row r="2" spans="1:6" s="33" customFormat="1" ht="21" customHeight="1" x14ac:dyDescent="0.25">
      <c r="A2" s="195" t="s">
        <v>238</v>
      </c>
      <c r="B2" s="195"/>
      <c r="C2" s="195"/>
      <c r="D2" s="195"/>
      <c r="E2" s="195"/>
      <c r="F2" s="195"/>
    </row>
    <row r="4" spans="1:6" x14ac:dyDescent="0.25">
      <c r="A4" s="87" t="s">
        <v>42</v>
      </c>
      <c r="B4" s="217" t="s">
        <v>78</v>
      </c>
      <c r="C4" s="218"/>
      <c r="D4" s="218"/>
      <c r="E4" s="218"/>
      <c r="F4" s="219"/>
    </row>
    <row r="5" spans="1:6" x14ac:dyDescent="0.25">
      <c r="A5" s="87"/>
      <c r="B5" s="87" t="s">
        <v>35</v>
      </c>
      <c r="C5" s="87" t="s">
        <v>36</v>
      </c>
      <c r="D5" s="87" t="s">
        <v>34</v>
      </c>
      <c r="E5" s="87" t="s">
        <v>37</v>
      </c>
      <c r="F5" s="87" t="s">
        <v>79</v>
      </c>
    </row>
    <row r="6" spans="1:6" x14ac:dyDescent="0.25">
      <c r="A6" s="34">
        <v>1</v>
      </c>
      <c r="B6" s="34">
        <v>133</v>
      </c>
      <c r="C6" s="34">
        <v>61</v>
      </c>
      <c r="D6" s="34">
        <v>7743</v>
      </c>
      <c r="E6" s="34">
        <v>14</v>
      </c>
      <c r="F6" s="29">
        <f t="shared" ref="F6:F18" si="0">SUM(B6:E6)</f>
        <v>7951</v>
      </c>
    </row>
    <row r="7" spans="1:6" x14ac:dyDescent="0.25">
      <c r="A7" s="34">
        <v>2</v>
      </c>
      <c r="B7" s="34">
        <v>129</v>
      </c>
      <c r="C7" s="34">
        <v>66</v>
      </c>
      <c r="D7" s="34">
        <v>7861</v>
      </c>
      <c r="E7" s="34">
        <v>7</v>
      </c>
      <c r="F7" s="29">
        <f t="shared" si="0"/>
        <v>8063</v>
      </c>
    </row>
    <row r="8" spans="1:6" x14ac:dyDescent="0.25">
      <c r="A8" s="34">
        <v>3</v>
      </c>
      <c r="B8" s="34">
        <v>93</v>
      </c>
      <c r="C8" s="34">
        <v>77</v>
      </c>
      <c r="D8" s="34">
        <v>6839</v>
      </c>
      <c r="E8" s="34">
        <v>8</v>
      </c>
      <c r="F8" s="29">
        <f t="shared" si="0"/>
        <v>7017</v>
      </c>
    </row>
    <row r="9" spans="1:6" x14ac:dyDescent="0.25">
      <c r="A9" s="34">
        <v>4</v>
      </c>
      <c r="B9" s="34">
        <v>53</v>
      </c>
      <c r="C9" s="34">
        <v>39</v>
      </c>
      <c r="D9" s="34">
        <v>5141</v>
      </c>
      <c r="E9" s="34">
        <v>5</v>
      </c>
      <c r="F9" s="29">
        <f t="shared" si="0"/>
        <v>5238</v>
      </c>
    </row>
    <row r="10" spans="1:6" x14ac:dyDescent="0.25">
      <c r="A10" s="34">
        <v>5</v>
      </c>
      <c r="B10" s="34">
        <v>17</v>
      </c>
      <c r="C10" s="34">
        <v>22</v>
      </c>
      <c r="D10" s="34">
        <v>3037</v>
      </c>
      <c r="E10" s="34">
        <v>6</v>
      </c>
      <c r="F10" s="29">
        <f t="shared" si="0"/>
        <v>3082</v>
      </c>
    </row>
    <row r="11" spans="1:6" x14ac:dyDescent="0.25">
      <c r="A11" s="34">
        <v>6</v>
      </c>
      <c r="B11" s="34">
        <v>16</v>
      </c>
      <c r="C11" s="34">
        <v>4</v>
      </c>
      <c r="D11" s="34">
        <v>1881</v>
      </c>
      <c r="E11" s="34">
        <v>4</v>
      </c>
      <c r="F11" s="29">
        <f t="shared" si="0"/>
        <v>1905</v>
      </c>
    </row>
    <row r="12" spans="1:6" x14ac:dyDescent="0.25">
      <c r="A12" s="34">
        <v>7</v>
      </c>
      <c r="B12" s="34">
        <v>3</v>
      </c>
      <c r="C12" s="34">
        <v>4</v>
      </c>
      <c r="D12" s="34">
        <v>980</v>
      </c>
      <c r="E12" s="34">
        <v>6</v>
      </c>
      <c r="F12" s="29">
        <f t="shared" si="0"/>
        <v>993</v>
      </c>
    </row>
    <row r="13" spans="1:6" x14ac:dyDescent="0.25">
      <c r="A13" s="34">
        <v>8</v>
      </c>
      <c r="B13" s="34">
        <v>1</v>
      </c>
      <c r="C13" s="34">
        <v>11</v>
      </c>
      <c r="D13" s="34">
        <v>480</v>
      </c>
      <c r="E13" s="34">
        <v>1</v>
      </c>
      <c r="F13" s="29">
        <f t="shared" si="0"/>
        <v>493</v>
      </c>
    </row>
    <row r="14" spans="1:6" x14ac:dyDescent="0.25">
      <c r="A14" s="34">
        <v>9</v>
      </c>
      <c r="B14" s="34">
        <v>0</v>
      </c>
      <c r="C14" s="34">
        <v>0</v>
      </c>
      <c r="D14" s="34">
        <v>257</v>
      </c>
      <c r="E14" s="34">
        <v>2</v>
      </c>
      <c r="F14" s="29">
        <f t="shared" si="0"/>
        <v>259</v>
      </c>
    </row>
    <row r="15" spans="1:6" x14ac:dyDescent="0.25">
      <c r="A15" s="34">
        <v>10</v>
      </c>
      <c r="B15" s="34">
        <v>0</v>
      </c>
      <c r="C15" s="34">
        <v>0</v>
      </c>
      <c r="D15" s="34">
        <v>100</v>
      </c>
      <c r="E15" s="34">
        <v>0</v>
      </c>
      <c r="F15" s="29">
        <f t="shared" si="0"/>
        <v>100</v>
      </c>
    </row>
    <row r="16" spans="1:6" x14ac:dyDescent="0.25">
      <c r="A16" s="34" t="s">
        <v>54</v>
      </c>
      <c r="B16" s="34">
        <v>0</v>
      </c>
      <c r="C16" s="34">
        <v>0</v>
      </c>
      <c r="D16" s="34">
        <v>90</v>
      </c>
      <c r="E16" s="34">
        <v>0</v>
      </c>
      <c r="F16" s="29">
        <f t="shared" si="0"/>
        <v>90</v>
      </c>
    </row>
    <row r="17" spans="1:6" x14ac:dyDescent="0.25">
      <c r="A17" s="34" t="s">
        <v>55</v>
      </c>
      <c r="B17" s="34">
        <v>13</v>
      </c>
      <c r="C17" s="34">
        <v>42</v>
      </c>
      <c r="D17" s="34">
        <v>1215</v>
      </c>
      <c r="E17" s="34">
        <v>6</v>
      </c>
      <c r="F17" s="29">
        <f t="shared" si="0"/>
        <v>1276</v>
      </c>
    </row>
    <row r="18" spans="1:6" x14ac:dyDescent="0.25">
      <c r="A18" s="72" t="s">
        <v>0</v>
      </c>
      <c r="B18" s="72">
        <f>SUM(B6:B17)</f>
        <v>458</v>
      </c>
      <c r="C18" s="72">
        <f>SUM(C6:C17)</f>
        <v>326</v>
      </c>
      <c r="D18" s="29">
        <f>SUM(D6:D17)</f>
        <v>35624</v>
      </c>
      <c r="E18" s="72">
        <f>SUM(E6:E17)</f>
        <v>59</v>
      </c>
      <c r="F18" s="29">
        <f t="shared" si="0"/>
        <v>36467</v>
      </c>
    </row>
    <row r="20" spans="1:6" x14ac:dyDescent="0.25">
      <c r="A20" s="66" t="s">
        <v>214</v>
      </c>
    </row>
  </sheetData>
  <mergeCells count="3">
    <mergeCell ref="B4:F4"/>
    <mergeCell ref="A1:F1"/>
    <mergeCell ref="A2:F2"/>
  </mergeCells>
  <pageMargins left="1.55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F20"/>
  <sheetViews>
    <sheetView workbookViewId="0">
      <selection activeCell="Q29" sqref="Q29"/>
    </sheetView>
  </sheetViews>
  <sheetFormatPr defaultColWidth="9.140625" defaultRowHeight="15.75" x14ac:dyDescent="0.25"/>
  <cols>
    <col min="1" max="6" width="16.28515625" style="7" customWidth="1"/>
    <col min="7" max="16384" width="9.140625" style="3"/>
  </cols>
  <sheetData>
    <row r="1" spans="1:6" x14ac:dyDescent="0.25">
      <c r="A1" s="194" t="s">
        <v>245</v>
      </c>
      <c r="B1" s="194"/>
      <c r="C1" s="194"/>
      <c r="D1" s="194"/>
      <c r="E1" s="194"/>
      <c r="F1" s="194"/>
    </row>
    <row r="2" spans="1:6" ht="40.5" customHeight="1" x14ac:dyDescent="0.25">
      <c r="A2" s="195" t="s">
        <v>239</v>
      </c>
      <c r="B2" s="195"/>
      <c r="C2" s="195"/>
      <c r="D2" s="195"/>
      <c r="E2" s="195"/>
      <c r="F2" s="195"/>
    </row>
    <row r="3" spans="1:6" s="48" customFormat="1" x14ac:dyDescent="0.25">
      <c r="A3" s="44"/>
      <c r="B3" s="44"/>
      <c r="C3" s="44"/>
      <c r="D3" s="44"/>
      <c r="E3" s="44"/>
      <c r="F3" s="44"/>
    </row>
    <row r="4" spans="1:6" ht="33" customHeight="1" x14ac:dyDescent="0.25">
      <c r="A4" s="87" t="s">
        <v>42</v>
      </c>
      <c r="B4" s="217" t="s">
        <v>78</v>
      </c>
      <c r="C4" s="218"/>
      <c r="D4" s="218"/>
      <c r="E4" s="218"/>
      <c r="F4" s="219"/>
    </row>
    <row r="5" spans="1:6" x14ac:dyDescent="0.25">
      <c r="A5" s="87"/>
      <c r="B5" s="87" t="s">
        <v>35</v>
      </c>
      <c r="C5" s="87" t="s">
        <v>36</v>
      </c>
      <c r="D5" s="87" t="s">
        <v>34</v>
      </c>
      <c r="E5" s="87" t="s">
        <v>37</v>
      </c>
      <c r="F5" s="87" t="s">
        <v>79</v>
      </c>
    </row>
    <row r="6" spans="1:6" x14ac:dyDescent="0.25">
      <c r="A6" s="34">
        <v>1</v>
      </c>
      <c r="B6" s="34">
        <v>1495</v>
      </c>
      <c r="C6" s="34">
        <v>552</v>
      </c>
      <c r="D6" s="34">
        <v>5487</v>
      </c>
      <c r="E6" s="34">
        <v>35</v>
      </c>
      <c r="F6" s="34">
        <f t="shared" ref="F6:F18" si="0">SUM(B6:E6)</f>
        <v>7569</v>
      </c>
    </row>
    <row r="7" spans="1:6" x14ac:dyDescent="0.25">
      <c r="A7" s="34">
        <v>2</v>
      </c>
      <c r="B7" s="34">
        <v>1360</v>
      </c>
      <c r="C7" s="34">
        <v>488</v>
      </c>
      <c r="D7" s="34">
        <v>5978</v>
      </c>
      <c r="E7" s="34">
        <v>26</v>
      </c>
      <c r="F7" s="34">
        <f t="shared" si="0"/>
        <v>7852</v>
      </c>
    </row>
    <row r="8" spans="1:6" x14ac:dyDescent="0.25">
      <c r="A8" s="34">
        <v>3</v>
      </c>
      <c r="B8" s="34">
        <v>683</v>
      </c>
      <c r="C8" s="34">
        <v>308</v>
      </c>
      <c r="D8" s="34">
        <v>4856</v>
      </c>
      <c r="E8" s="34">
        <v>7</v>
      </c>
      <c r="F8" s="34">
        <f t="shared" si="0"/>
        <v>5854</v>
      </c>
    </row>
    <row r="9" spans="1:6" x14ac:dyDescent="0.25">
      <c r="A9" s="34">
        <v>4</v>
      </c>
      <c r="B9" s="34">
        <v>330</v>
      </c>
      <c r="C9" s="34">
        <v>101</v>
      </c>
      <c r="D9" s="34">
        <v>2766</v>
      </c>
      <c r="E9" s="34">
        <v>7</v>
      </c>
      <c r="F9" s="34">
        <f t="shared" si="0"/>
        <v>3204</v>
      </c>
    </row>
    <row r="10" spans="1:6" x14ac:dyDescent="0.25">
      <c r="A10" s="34">
        <v>5</v>
      </c>
      <c r="B10" s="34">
        <v>114</v>
      </c>
      <c r="C10" s="34">
        <v>63</v>
      </c>
      <c r="D10" s="34">
        <v>1713</v>
      </c>
      <c r="E10" s="34">
        <v>1</v>
      </c>
      <c r="F10" s="34">
        <f t="shared" si="0"/>
        <v>1891</v>
      </c>
    </row>
    <row r="11" spans="1:6" x14ac:dyDescent="0.25">
      <c r="A11" s="34">
        <v>6</v>
      </c>
      <c r="B11" s="34">
        <v>38</v>
      </c>
      <c r="C11" s="34">
        <v>18</v>
      </c>
      <c r="D11" s="34">
        <v>799</v>
      </c>
      <c r="E11" s="34">
        <v>0</v>
      </c>
      <c r="F11" s="34">
        <f t="shared" si="0"/>
        <v>855</v>
      </c>
    </row>
    <row r="12" spans="1:6" x14ac:dyDescent="0.25">
      <c r="A12" s="34">
        <v>7</v>
      </c>
      <c r="B12" s="34">
        <v>13</v>
      </c>
      <c r="C12" s="34">
        <v>7</v>
      </c>
      <c r="D12" s="34">
        <v>425</v>
      </c>
      <c r="E12" s="34">
        <v>1</v>
      </c>
      <c r="F12" s="34">
        <f t="shared" si="0"/>
        <v>446</v>
      </c>
    </row>
    <row r="13" spans="1:6" x14ac:dyDescent="0.25">
      <c r="A13" s="34">
        <v>8</v>
      </c>
      <c r="B13" s="34">
        <v>7</v>
      </c>
      <c r="C13" s="34">
        <v>1</v>
      </c>
      <c r="D13" s="34">
        <v>132</v>
      </c>
      <c r="E13" s="34">
        <v>1</v>
      </c>
      <c r="F13" s="34">
        <f t="shared" si="0"/>
        <v>141</v>
      </c>
    </row>
    <row r="14" spans="1:6" x14ac:dyDescent="0.25">
      <c r="A14" s="34">
        <v>9</v>
      </c>
      <c r="B14" s="34">
        <v>4</v>
      </c>
      <c r="C14" s="34">
        <v>0</v>
      </c>
      <c r="D14" s="34">
        <v>68</v>
      </c>
      <c r="E14" s="34">
        <v>0</v>
      </c>
      <c r="F14" s="34">
        <f t="shared" si="0"/>
        <v>72</v>
      </c>
    </row>
    <row r="15" spans="1:6" x14ac:dyDescent="0.25">
      <c r="A15" s="34">
        <v>10</v>
      </c>
      <c r="B15" s="34">
        <v>2</v>
      </c>
      <c r="C15" s="34">
        <v>0</v>
      </c>
      <c r="D15" s="34">
        <v>28</v>
      </c>
      <c r="E15" s="34">
        <v>0</v>
      </c>
      <c r="F15" s="34">
        <f t="shared" si="0"/>
        <v>30</v>
      </c>
    </row>
    <row r="16" spans="1:6" x14ac:dyDescent="0.25">
      <c r="A16" s="34" t="s">
        <v>54</v>
      </c>
      <c r="B16" s="34">
        <v>1</v>
      </c>
      <c r="C16" s="34">
        <v>0</v>
      </c>
      <c r="D16" s="34">
        <v>11</v>
      </c>
      <c r="E16" s="34">
        <v>0</v>
      </c>
      <c r="F16" s="34">
        <f t="shared" si="0"/>
        <v>12</v>
      </c>
    </row>
    <row r="17" spans="1:6" x14ac:dyDescent="0.25">
      <c r="A17" s="34" t="s">
        <v>55</v>
      </c>
      <c r="B17" s="34">
        <v>251</v>
      </c>
      <c r="C17" s="34">
        <v>51</v>
      </c>
      <c r="D17" s="34">
        <v>870</v>
      </c>
      <c r="E17" s="34">
        <v>4</v>
      </c>
      <c r="F17" s="34">
        <f t="shared" si="0"/>
        <v>1176</v>
      </c>
    </row>
    <row r="18" spans="1:6" x14ac:dyDescent="0.25">
      <c r="A18" s="72" t="s">
        <v>0</v>
      </c>
      <c r="B18" s="72">
        <f>SUM(B6:B17)</f>
        <v>4298</v>
      </c>
      <c r="C18" s="72">
        <f>SUM(C6:C17)</f>
        <v>1589</v>
      </c>
      <c r="D18" s="72">
        <f>SUM(D6:D17)</f>
        <v>23133</v>
      </c>
      <c r="E18" s="72">
        <f>SUM(E6:E17)</f>
        <v>82</v>
      </c>
      <c r="F18" s="72">
        <f t="shared" si="0"/>
        <v>29102</v>
      </c>
    </row>
    <row r="20" spans="1:6" x14ac:dyDescent="0.25">
      <c r="A20" s="66" t="s">
        <v>214</v>
      </c>
    </row>
  </sheetData>
  <mergeCells count="3">
    <mergeCell ref="A1:F1"/>
    <mergeCell ref="A2:F2"/>
    <mergeCell ref="B4:F4"/>
  </mergeCells>
  <pageMargins left="1.71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B2:M17"/>
  <sheetViews>
    <sheetView zoomScale="80" zoomScaleNormal="80" workbookViewId="0">
      <selection activeCell="B3" sqref="B3:M3"/>
    </sheetView>
  </sheetViews>
  <sheetFormatPr defaultColWidth="9.140625" defaultRowHeight="15.75" x14ac:dyDescent="0.25"/>
  <cols>
    <col min="1" max="1" width="9.140625" style="4"/>
    <col min="2" max="2" width="9.140625" style="40"/>
    <col min="3" max="3" width="8.140625" style="4" customWidth="1"/>
    <col min="4" max="13" width="9.140625" style="4" customWidth="1"/>
    <col min="14" max="16384" width="9.140625" style="4"/>
  </cols>
  <sheetData>
    <row r="2" spans="2:13" x14ac:dyDescent="0.25">
      <c r="B2" s="194" t="s">
        <v>246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</row>
    <row r="3" spans="2:13" x14ac:dyDescent="0.25">
      <c r="B3" s="194" t="s">
        <v>225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</row>
    <row r="6" spans="2:13" ht="220.5" x14ac:dyDescent="0.25">
      <c r="B6" s="39" t="s">
        <v>80</v>
      </c>
      <c r="C6" s="39" t="s">
        <v>81</v>
      </c>
      <c r="D6" s="39" t="s">
        <v>68</v>
      </c>
      <c r="E6" s="39" t="s">
        <v>69</v>
      </c>
      <c r="F6" s="39" t="s">
        <v>70</v>
      </c>
      <c r="G6" s="39" t="s">
        <v>71</v>
      </c>
      <c r="H6" s="39" t="s">
        <v>82</v>
      </c>
      <c r="I6" s="39" t="s">
        <v>77</v>
      </c>
      <c r="J6" s="39" t="s">
        <v>83</v>
      </c>
      <c r="K6" s="39" t="s">
        <v>75</v>
      </c>
      <c r="L6" s="39" t="s">
        <v>76</v>
      </c>
      <c r="M6" s="39" t="s">
        <v>79</v>
      </c>
    </row>
    <row r="7" spans="2:13" x14ac:dyDescent="0.25">
      <c r="B7" s="224" t="s">
        <v>84</v>
      </c>
      <c r="C7" s="36" t="s">
        <v>17</v>
      </c>
      <c r="D7" s="36">
        <v>17</v>
      </c>
      <c r="E7" s="36">
        <v>25</v>
      </c>
      <c r="F7" s="36">
        <v>11</v>
      </c>
      <c r="G7" s="36">
        <v>13</v>
      </c>
      <c r="H7" s="36">
        <v>116</v>
      </c>
      <c r="I7" s="36">
        <v>3</v>
      </c>
      <c r="J7" s="36">
        <v>126</v>
      </c>
      <c r="K7" s="36">
        <v>156</v>
      </c>
      <c r="L7" s="36">
        <v>130</v>
      </c>
      <c r="M7" s="36">
        <f t="shared" ref="M7:M15" si="0">SUM(D7:L7)</f>
        <v>597</v>
      </c>
    </row>
    <row r="8" spans="2:13" x14ac:dyDescent="0.25">
      <c r="B8" s="225"/>
      <c r="C8" s="36" t="s">
        <v>16</v>
      </c>
      <c r="D8" s="36">
        <v>0</v>
      </c>
      <c r="E8" s="36">
        <v>1</v>
      </c>
      <c r="F8" s="36">
        <v>6</v>
      </c>
      <c r="G8" s="36">
        <v>4</v>
      </c>
      <c r="H8" s="36">
        <v>58</v>
      </c>
      <c r="I8" s="36">
        <v>0</v>
      </c>
      <c r="J8" s="36">
        <v>86</v>
      </c>
      <c r="K8" s="36">
        <v>125</v>
      </c>
      <c r="L8" s="36">
        <v>21</v>
      </c>
      <c r="M8" s="36">
        <f t="shared" si="0"/>
        <v>301</v>
      </c>
    </row>
    <row r="9" spans="2:13" x14ac:dyDescent="0.25">
      <c r="B9" s="226"/>
      <c r="C9" s="36" t="s">
        <v>15</v>
      </c>
      <c r="D9" s="36">
        <f>D7+D8</f>
        <v>17</v>
      </c>
      <c r="E9" s="36">
        <f t="shared" ref="E9:L9" si="1">E7+E8</f>
        <v>26</v>
      </c>
      <c r="F9" s="36">
        <f t="shared" si="1"/>
        <v>17</v>
      </c>
      <c r="G9" s="36">
        <f t="shared" si="1"/>
        <v>17</v>
      </c>
      <c r="H9" s="36">
        <f t="shared" si="1"/>
        <v>174</v>
      </c>
      <c r="I9" s="36">
        <f t="shared" si="1"/>
        <v>3</v>
      </c>
      <c r="J9" s="36">
        <f t="shared" si="1"/>
        <v>212</v>
      </c>
      <c r="K9" s="36">
        <f t="shared" si="1"/>
        <v>281</v>
      </c>
      <c r="L9" s="36">
        <f t="shared" si="1"/>
        <v>151</v>
      </c>
      <c r="M9" s="67">
        <f>SUM(D9:L9)</f>
        <v>898</v>
      </c>
    </row>
    <row r="10" spans="2:13" x14ac:dyDescent="0.25">
      <c r="B10" s="224" t="s">
        <v>1</v>
      </c>
      <c r="C10" s="36" t="s">
        <v>17</v>
      </c>
      <c r="D10" s="36">
        <v>86</v>
      </c>
      <c r="E10" s="36">
        <v>59</v>
      </c>
      <c r="F10" s="36">
        <v>121</v>
      </c>
      <c r="G10" s="36">
        <v>91</v>
      </c>
      <c r="H10" s="36">
        <v>121</v>
      </c>
      <c r="I10" s="36">
        <v>88</v>
      </c>
      <c r="J10" s="36">
        <v>782</v>
      </c>
      <c r="K10" s="36">
        <v>349</v>
      </c>
      <c r="L10" s="36">
        <v>433</v>
      </c>
      <c r="M10" s="36">
        <f t="shared" si="0"/>
        <v>2130</v>
      </c>
    </row>
    <row r="11" spans="2:13" x14ac:dyDescent="0.25">
      <c r="B11" s="225"/>
      <c r="C11" s="36" t="s">
        <v>16</v>
      </c>
      <c r="D11" s="36">
        <v>79</v>
      </c>
      <c r="E11" s="36">
        <v>22</v>
      </c>
      <c r="F11" s="36">
        <v>28</v>
      </c>
      <c r="G11" s="36">
        <v>64</v>
      </c>
      <c r="H11" s="36">
        <v>78</v>
      </c>
      <c r="I11" s="36">
        <v>129</v>
      </c>
      <c r="J11" s="36">
        <v>200</v>
      </c>
      <c r="K11" s="36">
        <v>189</v>
      </c>
      <c r="L11" s="36">
        <v>117</v>
      </c>
      <c r="M11" s="36">
        <f t="shared" si="0"/>
        <v>906</v>
      </c>
    </row>
    <row r="12" spans="2:13" x14ac:dyDescent="0.25">
      <c r="B12" s="226"/>
      <c r="C12" s="36" t="s">
        <v>15</v>
      </c>
      <c r="D12" s="36">
        <f>D10+D11</f>
        <v>165</v>
      </c>
      <c r="E12" s="36">
        <f t="shared" ref="E12" si="2">E10+E11</f>
        <v>81</v>
      </c>
      <c r="F12" s="36">
        <f t="shared" ref="F12" si="3">F10+F11</f>
        <v>149</v>
      </c>
      <c r="G12" s="36">
        <f t="shared" ref="G12" si="4">G10+G11</f>
        <v>155</v>
      </c>
      <c r="H12" s="36">
        <f t="shared" ref="H12" si="5">H10+H11</f>
        <v>199</v>
      </c>
      <c r="I12" s="36">
        <f t="shared" ref="I12" si="6">I10+I11</f>
        <v>217</v>
      </c>
      <c r="J12" s="36">
        <f t="shared" ref="J12" si="7">J10+J11</f>
        <v>982</v>
      </c>
      <c r="K12" s="36">
        <f t="shared" ref="K12" si="8">K10+K11</f>
        <v>538</v>
      </c>
      <c r="L12" s="36">
        <f t="shared" ref="L12" si="9">L10+L11</f>
        <v>550</v>
      </c>
      <c r="M12" s="67">
        <f t="shared" si="0"/>
        <v>3036</v>
      </c>
    </row>
    <row r="13" spans="2:13" x14ac:dyDescent="0.25">
      <c r="B13" s="224" t="s">
        <v>0</v>
      </c>
      <c r="C13" s="36" t="s">
        <v>17</v>
      </c>
      <c r="D13" s="36">
        <f>D7+D10</f>
        <v>103</v>
      </c>
      <c r="E13" s="36">
        <f t="shared" ref="E13:L13" si="10">E7+E10</f>
        <v>84</v>
      </c>
      <c r="F13" s="36">
        <f t="shared" si="10"/>
        <v>132</v>
      </c>
      <c r="G13" s="36">
        <f t="shared" si="10"/>
        <v>104</v>
      </c>
      <c r="H13" s="36">
        <f t="shared" si="10"/>
        <v>237</v>
      </c>
      <c r="I13" s="36">
        <f t="shared" si="10"/>
        <v>91</v>
      </c>
      <c r="J13" s="36">
        <f t="shared" si="10"/>
        <v>908</v>
      </c>
      <c r="K13" s="36">
        <f t="shared" si="10"/>
        <v>505</v>
      </c>
      <c r="L13" s="36">
        <f t="shared" si="10"/>
        <v>563</v>
      </c>
      <c r="M13" s="36">
        <f t="shared" si="0"/>
        <v>2727</v>
      </c>
    </row>
    <row r="14" spans="2:13" x14ac:dyDescent="0.25">
      <c r="B14" s="225"/>
      <c r="C14" s="36" t="s">
        <v>16</v>
      </c>
      <c r="D14" s="36">
        <f>D8+D11</f>
        <v>79</v>
      </c>
      <c r="E14" s="36">
        <f t="shared" ref="E14:L14" si="11">E8+E11</f>
        <v>23</v>
      </c>
      <c r="F14" s="36">
        <f t="shared" si="11"/>
        <v>34</v>
      </c>
      <c r="G14" s="36">
        <f t="shared" si="11"/>
        <v>68</v>
      </c>
      <c r="H14" s="36">
        <f t="shared" si="11"/>
        <v>136</v>
      </c>
      <c r="I14" s="36">
        <f t="shared" si="11"/>
        <v>129</v>
      </c>
      <c r="J14" s="36">
        <f t="shared" si="11"/>
        <v>286</v>
      </c>
      <c r="K14" s="36">
        <f t="shared" si="11"/>
        <v>314</v>
      </c>
      <c r="L14" s="36">
        <f t="shared" si="11"/>
        <v>138</v>
      </c>
      <c r="M14" s="36">
        <f t="shared" si="0"/>
        <v>1207</v>
      </c>
    </row>
    <row r="15" spans="2:13" x14ac:dyDescent="0.25">
      <c r="B15" s="226"/>
      <c r="C15" s="36" t="s">
        <v>15</v>
      </c>
      <c r="D15" s="36">
        <f t="shared" ref="D15:L15" si="12">SUM(D13:D14)</f>
        <v>182</v>
      </c>
      <c r="E15" s="36">
        <f t="shared" si="12"/>
        <v>107</v>
      </c>
      <c r="F15" s="36">
        <f t="shared" si="12"/>
        <v>166</v>
      </c>
      <c r="G15" s="36">
        <f t="shared" si="12"/>
        <v>172</v>
      </c>
      <c r="H15" s="36">
        <f t="shared" si="12"/>
        <v>373</v>
      </c>
      <c r="I15" s="36">
        <f t="shared" si="12"/>
        <v>220</v>
      </c>
      <c r="J15" s="36">
        <f t="shared" si="12"/>
        <v>1194</v>
      </c>
      <c r="K15" s="36">
        <f t="shared" si="12"/>
        <v>819</v>
      </c>
      <c r="L15" s="36">
        <f t="shared" si="12"/>
        <v>701</v>
      </c>
      <c r="M15" s="68">
        <f t="shared" si="0"/>
        <v>3934</v>
      </c>
    </row>
    <row r="17" spans="2:2" x14ac:dyDescent="0.25">
      <c r="B17" s="66" t="s">
        <v>214</v>
      </c>
    </row>
  </sheetData>
  <mergeCells count="5">
    <mergeCell ref="B13:B15"/>
    <mergeCell ref="B7:B9"/>
    <mergeCell ref="B10:B12"/>
    <mergeCell ref="B2:M2"/>
    <mergeCell ref="B3:M3"/>
  </mergeCells>
  <pageMargins left="0.57999999999999996" right="0.1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J13"/>
  <sheetViews>
    <sheetView workbookViewId="0">
      <selection activeCell="A2" sqref="A2:J2"/>
    </sheetView>
  </sheetViews>
  <sheetFormatPr defaultColWidth="9.140625" defaultRowHeight="15.75" x14ac:dyDescent="0.25"/>
  <cols>
    <col min="1" max="1" width="32" style="4" customWidth="1"/>
    <col min="2" max="16384" width="9.140625" style="4"/>
  </cols>
  <sheetData>
    <row r="1" spans="1:10" x14ac:dyDescent="0.25">
      <c r="A1" s="194" t="s">
        <v>85</v>
      </c>
      <c r="B1" s="194"/>
      <c r="C1" s="194"/>
      <c r="D1" s="194"/>
      <c r="E1" s="194"/>
      <c r="F1" s="194"/>
      <c r="G1" s="194"/>
      <c r="H1" s="194"/>
      <c r="I1" s="194"/>
      <c r="J1" s="194"/>
    </row>
    <row r="2" spans="1:10" x14ac:dyDescent="0.25">
      <c r="A2" s="194" t="s">
        <v>216</v>
      </c>
      <c r="B2" s="194"/>
      <c r="C2" s="194"/>
      <c r="D2" s="194"/>
      <c r="E2" s="194"/>
      <c r="F2" s="194"/>
      <c r="G2" s="194"/>
      <c r="H2" s="194"/>
      <c r="I2" s="194"/>
      <c r="J2" s="194"/>
    </row>
    <row r="4" spans="1:10" x14ac:dyDescent="0.25">
      <c r="A4" s="205" t="s">
        <v>97</v>
      </c>
      <c r="B4" s="205" t="s">
        <v>84</v>
      </c>
      <c r="C4" s="205"/>
      <c r="D4" s="205"/>
      <c r="E4" s="205" t="s">
        <v>1</v>
      </c>
      <c r="F4" s="205"/>
      <c r="G4" s="205"/>
      <c r="H4" s="205" t="s">
        <v>201</v>
      </c>
      <c r="I4" s="205"/>
      <c r="J4" s="205"/>
    </row>
    <row r="5" spans="1:10" x14ac:dyDescent="0.25">
      <c r="A5" s="205"/>
      <c r="B5" s="45" t="s">
        <v>28</v>
      </c>
      <c r="C5" s="45" t="s">
        <v>27</v>
      </c>
      <c r="D5" s="45" t="s">
        <v>0</v>
      </c>
      <c r="E5" s="45" t="s">
        <v>28</v>
      </c>
      <c r="F5" s="45" t="s">
        <v>27</v>
      </c>
      <c r="G5" s="45" t="s">
        <v>0</v>
      </c>
      <c r="H5" s="45" t="s">
        <v>28</v>
      </c>
      <c r="I5" s="45" t="s">
        <v>27</v>
      </c>
      <c r="J5" s="45" t="s">
        <v>0</v>
      </c>
    </row>
    <row r="6" spans="1:10" x14ac:dyDescent="0.25">
      <c r="A6" s="41" t="s">
        <v>202</v>
      </c>
      <c r="B6" s="64">
        <v>1</v>
      </c>
      <c r="C6" s="64">
        <v>1</v>
      </c>
      <c r="D6" s="64">
        <f>B6+C6</f>
        <v>2</v>
      </c>
      <c r="E6" s="64">
        <v>0</v>
      </c>
      <c r="F6" s="64">
        <v>1</v>
      </c>
      <c r="G6" s="64">
        <f t="shared" ref="G6:G10" si="0">E6+F6</f>
        <v>1</v>
      </c>
      <c r="H6" s="64">
        <f>B6+E6</f>
        <v>1</v>
      </c>
      <c r="I6" s="64">
        <f t="shared" ref="I6:I10" si="1">C6+F6</f>
        <v>2</v>
      </c>
      <c r="J6" s="64">
        <f t="shared" ref="J6:J10" si="2">H6+I6</f>
        <v>3</v>
      </c>
    </row>
    <row r="7" spans="1:10" x14ac:dyDescent="0.25">
      <c r="A7" s="41" t="s">
        <v>203</v>
      </c>
      <c r="B7" s="64">
        <v>0</v>
      </c>
      <c r="C7" s="64">
        <v>0</v>
      </c>
      <c r="D7" s="64">
        <f t="shared" ref="D7:D10" si="3">B7+C7</f>
        <v>0</v>
      </c>
      <c r="E7" s="64">
        <v>0</v>
      </c>
      <c r="F7" s="64">
        <v>0</v>
      </c>
      <c r="G7" s="64">
        <f t="shared" si="0"/>
        <v>0</v>
      </c>
      <c r="H7" s="64">
        <f t="shared" ref="H7:H10" si="4">B7+E7</f>
        <v>0</v>
      </c>
      <c r="I7" s="64">
        <f t="shared" si="1"/>
        <v>0</v>
      </c>
      <c r="J7" s="64">
        <f t="shared" si="2"/>
        <v>0</v>
      </c>
    </row>
    <row r="8" spans="1:10" x14ac:dyDescent="0.25">
      <c r="A8" s="41" t="s">
        <v>204</v>
      </c>
      <c r="B8" s="64">
        <v>0</v>
      </c>
      <c r="C8" s="64">
        <v>0</v>
      </c>
      <c r="D8" s="64">
        <f t="shared" si="3"/>
        <v>0</v>
      </c>
      <c r="E8" s="64">
        <v>0</v>
      </c>
      <c r="F8" s="64">
        <v>1</v>
      </c>
      <c r="G8" s="64">
        <f t="shared" si="0"/>
        <v>1</v>
      </c>
      <c r="H8" s="64">
        <f t="shared" si="4"/>
        <v>0</v>
      </c>
      <c r="I8" s="64">
        <f t="shared" si="1"/>
        <v>1</v>
      </c>
      <c r="J8" s="64">
        <f t="shared" si="2"/>
        <v>1</v>
      </c>
    </row>
    <row r="9" spans="1:10" x14ac:dyDescent="0.25">
      <c r="A9" s="41" t="s">
        <v>205</v>
      </c>
      <c r="B9" s="64">
        <v>1</v>
      </c>
      <c r="C9" s="64">
        <v>0</v>
      </c>
      <c r="D9" s="64">
        <f t="shared" si="3"/>
        <v>1</v>
      </c>
      <c r="E9" s="64">
        <v>0</v>
      </c>
      <c r="F9" s="64">
        <v>0</v>
      </c>
      <c r="G9" s="64">
        <f t="shared" si="0"/>
        <v>0</v>
      </c>
      <c r="H9" s="64">
        <f t="shared" si="4"/>
        <v>1</v>
      </c>
      <c r="I9" s="64">
        <f t="shared" si="1"/>
        <v>0</v>
      </c>
      <c r="J9" s="64">
        <f t="shared" si="2"/>
        <v>1</v>
      </c>
    </row>
    <row r="10" spans="1:10" x14ac:dyDescent="0.25">
      <c r="A10" s="41" t="s">
        <v>206</v>
      </c>
      <c r="B10" s="64">
        <v>1</v>
      </c>
      <c r="C10" s="64">
        <v>0</v>
      </c>
      <c r="D10" s="64">
        <f t="shared" si="3"/>
        <v>1</v>
      </c>
      <c r="E10" s="64">
        <v>0</v>
      </c>
      <c r="F10" s="64">
        <v>0</v>
      </c>
      <c r="G10" s="64">
        <f t="shared" si="0"/>
        <v>0</v>
      </c>
      <c r="H10" s="64">
        <f t="shared" si="4"/>
        <v>1</v>
      </c>
      <c r="I10" s="64">
        <f t="shared" si="1"/>
        <v>0</v>
      </c>
      <c r="J10" s="64">
        <f t="shared" si="2"/>
        <v>1</v>
      </c>
    </row>
    <row r="11" spans="1:10" x14ac:dyDescent="0.25">
      <c r="A11" s="108" t="s">
        <v>207</v>
      </c>
      <c r="B11" s="45">
        <f t="shared" ref="B11:I11" si="5">SUM(B6:B10)</f>
        <v>3</v>
      </c>
      <c r="C11" s="45">
        <f t="shared" si="5"/>
        <v>1</v>
      </c>
      <c r="D11" s="45">
        <f t="shared" si="5"/>
        <v>4</v>
      </c>
      <c r="E11" s="45">
        <f t="shared" si="5"/>
        <v>0</v>
      </c>
      <c r="F11" s="45">
        <f t="shared" si="5"/>
        <v>2</v>
      </c>
      <c r="G11" s="45">
        <f t="shared" si="5"/>
        <v>2</v>
      </c>
      <c r="H11" s="45">
        <f t="shared" si="5"/>
        <v>3</v>
      </c>
      <c r="I11" s="45">
        <f t="shared" si="5"/>
        <v>3</v>
      </c>
      <c r="J11" s="45">
        <f t="shared" ref="J11" si="6">SUM(H11:I11)</f>
        <v>6</v>
      </c>
    </row>
    <row r="13" spans="1:10" x14ac:dyDescent="0.25">
      <c r="A13" s="66" t="s">
        <v>214</v>
      </c>
    </row>
  </sheetData>
  <mergeCells count="6">
    <mergeCell ref="A4:A5"/>
    <mergeCell ref="B4:D4"/>
    <mergeCell ref="E4:G4"/>
    <mergeCell ref="H4:J4"/>
    <mergeCell ref="A1:J1"/>
    <mergeCell ref="A2:J2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H19"/>
  <sheetViews>
    <sheetView workbookViewId="0">
      <selection activeCell="C14" sqref="C14"/>
    </sheetView>
  </sheetViews>
  <sheetFormatPr defaultColWidth="8.85546875" defaultRowHeight="15.75" x14ac:dyDescent="0.25"/>
  <cols>
    <col min="1" max="5" width="22.28515625" style="4" customWidth="1"/>
    <col min="6" max="16384" width="8.85546875" style="4"/>
  </cols>
  <sheetData>
    <row r="1" spans="1:5" x14ac:dyDescent="0.25">
      <c r="A1" s="194" t="s">
        <v>200</v>
      </c>
      <c r="B1" s="194"/>
      <c r="C1" s="194"/>
      <c r="D1" s="194"/>
      <c r="E1" s="194"/>
    </row>
    <row r="2" spans="1:5" x14ac:dyDescent="0.25">
      <c r="A2" s="194" t="s">
        <v>240</v>
      </c>
      <c r="B2" s="194"/>
      <c r="C2" s="194"/>
      <c r="D2" s="194"/>
      <c r="E2" s="194"/>
    </row>
    <row r="4" spans="1:5" ht="47.25" x14ac:dyDescent="0.25">
      <c r="A4" s="105" t="s">
        <v>97</v>
      </c>
      <c r="B4" s="105" t="s">
        <v>84</v>
      </c>
      <c r="C4" s="109" t="s">
        <v>208</v>
      </c>
      <c r="D4" s="110" t="s">
        <v>209</v>
      </c>
      <c r="E4" s="111" t="s">
        <v>210</v>
      </c>
    </row>
    <row r="5" spans="1:5" x14ac:dyDescent="0.25">
      <c r="A5" s="64" t="s">
        <v>44</v>
      </c>
      <c r="B5" s="64">
        <v>0</v>
      </c>
      <c r="C5" s="64">
        <v>0</v>
      </c>
      <c r="D5" s="64">
        <v>0</v>
      </c>
      <c r="E5" s="64">
        <v>0</v>
      </c>
    </row>
    <row r="6" spans="1:5" x14ac:dyDescent="0.25">
      <c r="A6" s="64" t="s">
        <v>45</v>
      </c>
      <c r="B6" s="64">
        <v>0</v>
      </c>
      <c r="C6" s="64">
        <v>0</v>
      </c>
      <c r="D6" s="64">
        <v>0</v>
      </c>
      <c r="E6" s="64">
        <v>0</v>
      </c>
    </row>
    <row r="7" spans="1:5" x14ac:dyDescent="0.25">
      <c r="A7" s="64" t="s">
        <v>46</v>
      </c>
      <c r="B7" s="64">
        <v>0</v>
      </c>
      <c r="C7" s="64">
        <v>0</v>
      </c>
      <c r="D7" s="64">
        <v>0</v>
      </c>
      <c r="E7" s="64">
        <v>0</v>
      </c>
    </row>
    <row r="8" spans="1:5" x14ac:dyDescent="0.25">
      <c r="A8" s="64" t="s">
        <v>47</v>
      </c>
      <c r="B8" s="64">
        <v>0</v>
      </c>
      <c r="C8" s="64">
        <v>0</v>
      </c>
      <c r="D8" s="64">
        <v>0</v>
      </c>
      <c r="E8" s="64">
        <v>0</v>
      </c>
    </row>
    <row r="9" spans="1:5" x14ac:dyDescent="0.25">
      <c r="A9" s="64" t="s">
        <v>48</v>
      </c>
      <c r="B9" s="64">
        <v>0</v>
      </c>
      <c r="C9" s="64">
        <v>0</v>
      </c>
      <c r="D9" s="64">
        <v>0</v>
      </c>
      <c r="E9" s="64">
        <v>0</v>
      </c>
    </row>
    <row r="10" spans="1:5" x14ac:dyDescent="0.25">
      <c r="A10" s="64" t="s">
        <v>49</v>
      </c>
      <c r="B10" s="64">
        <v>0</v>
      </c>
      <c r="C10" s="64">
        <v>0</v>
      </c>
      <c r="D10" s="64">
        <v>0</v>
      </c>
      <c r="E10" s="64">
        <v>0</v>
      </c>
    </row>
    <row r="11" spans="1:5" x14ac:dyDescent="0.25">
      <c r="A11" s="64" t="s">
        <v>50</v>
      </c>
      <c r="B11" s="64">
        <v>0</v>
      </c>
      <c r="C11" s="64">
        <v>0</v>
      </c>
      <c r="D11" s="64">
        <v>0</v>
      </c>
      <c r="E11" s="64">
        <v>0</v>
      </c>
    </row>
    <row r="12" spans="1:5" x14ac:dyDescent="0.25">
      <c r="A12" s="64" t="s">
        <v>211</v>
      </c>
      <c r="B12" s="64">
        <v>0</v>
      </c>
      <c r="C12" s="64">
        <v>0</v>
      </c>
      <c r="D12" s="64">
        <v>0</v>
      </c>
      <c r="E12" s="64">
        <v>0</v>
      </c>
    </row>
    <row r="13" spans="1:5" x14ac:dyDescent="0.25">
      <c r="A13" s="64" t="s">
        <v>212</v>
      </c>
      <c r="B13" s="64">
        <v>0</v>
      </c>
      <c r="C13" s="64">
        <v>0</v>
      </c>
      <c r="D13" s="64">
        <v>0</v>
      </c>
      <c r="E13" s="64">
        <v>0</v>
      </c>
    </row>
    <row r="14" spans="1:5" x14ac:dyDescent="0.25">
      <c r="A14" s="45" t="s">
        <v>213</v>
      </c>
      <c r="B14" s="45">
        <f>SUM(B5:B13)</f>
        <v>0</v>
      </c>
      <c r="C14" s="45">
        <f>SUM(C5:C13)</f>
        <v>0</v>
      </c>
      <c r="D14" s="45">
        <f>SUM(D5:D13)</f>
        <v>0</v>
      </c>
      <c r="E14" s="45">
        <f>SUM(E5:E13)</f>
        <v>0</v>
      </c>
    </row>
    <row r="16" spans="1:5" x14ac:dyDescent="0.25">
      <c r="A16" s="66" t="s">
        <v>214</v>
      </c>
    </row>
    <row r="19" spans="8:8" x14ac:dyDescent="0.25">
      <c r="H19" s="6"/>
    </row>
  </sheetData>
  <mergeCells count="2">
    <mergeCell ref="A1:E1"/>
    <mergeCell ref="A2:E2"/>
  </mergeCells>
  <pageMargins left="1.22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S21"/>
  <sheetViews>
    <sheetView zoomScale="80" zoomScaleNormal="80" workbookViewId="0">
      <selection activeCell="A4" sqref="A4:R20"/>
    </sheetView>
  </sheetViews>
  <sheetFormatPr defaultColWidth="9.140625" defaultRowHeight="15.75" x14ac:dyDescent="0.25"/>
  <cols>
    <col min="1" max="1" width="12.7109375" style="60" customWidth="1"/>
    <col min="2" max="2" width="22.7109375" style="60" customWidth="1"/>
    <col min="3" max="9" width="12.7109375" style="60" customWidth="1"/>
    <col min="10" max="18" width="14" style="60" customWidth="1"/>
    <col min="19" max="16384" width="9.140625" style="60"/>
  </cols>
  <sheetData>
    <row r="1" spans="1:19" ht="15.75" customHeight="1" x14ac:dyDescent="0.25">
      <c r="A1" s="227" t="s">
        <v>247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2" spans="1:19" ht="15.75" customHeight="1" x14ac:dyDescent="0.25">
      <c r="A2" s="228" t="s">
        <v>251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</row>
    <row r="3" spans="1:19" s="28" customFormat="1" ht="15.75" customHeight="1" x14ac:dyDescent="0.25">
      <c r="A3" s="150" t="s">
        <v>252</v>
      </c>
      <c r="B3" s="134" t="s">
        <v>253</v>
      </c>
      <c r="C3" s="137" t="s">
        <v>254</v>
      </c>
      <c r="D3" s="138" t="s">
        <v>255</v>
      </c>
      <c r="E3" s="138" t="s">
        <v>256</v>
      </c>
      <c r="F3" s="138" t="s">
        <v>257</v>
      </c>
      <c r="G3" s="138" t="s">
        <v>258</v>
      </c>
      <c r="H3" s="138" t="s">
        <v>259</v>
      </c>
      <c r="I3" s="138" t="s">
        <v>260</v>
      </c>
      <c r="J3" s="138" t="s">
        <v>261</v>
      </c>
      <c r="K3" s="138" t="s">
        <v>262</v>
      </c>
      <c r="L3" s="138" t="s">
        <v>263</v>
      </c>
      <c r="M3" s="138" t="s">
        <v>264</v>
      </c>
      <c r="N3" s="139" t="s">
        <v>265</v>
      </c>
      <c r="O3" s="140" t="s">
        <v>266</v>
      </c>
      <c r="P3" s="141" t="s">
        <v>267</v>
      </c>
      <c r="Q3" s="141" t="s">
        <v>268</v>
      </c>
      <c r="R3" s="142" t="s">
        <v>269</v>
      </c>
    </row>
    <row r="4" spans="1:19" s="28" customFormat="1" ht="15.75" customHeight="1" x14ac:dyDescent="0.25">
      <c r="A4" s="150" t="s">
        <v>86</v>
      </c>
      <c r="B4" s="134" t="s">
        <v>24</v>
      </c>
      <c r="C4" s="137" t="s">
        <v>87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9"/>
      <c r="O4" s="140" t="s">
        <v>88</v>
      </c>
      <c r="P4" s="141"/>
      <c r="Q4" s="141"/>
      <c r="R4" s="142"/>
    </row>
    <row r="5" spans="1:19" s="28" customFormat="1" ht="15.75" customHeight="1" x14ac:dyDescent="0.25">
      <c r="A5" s="151"/>
      <c r="B5" s="135"/>
      <c r="C5" s="132" t="s">
        <v>39</v>
      </c>
      <c r="D5" s="149"/>
      <c r="E5" s="149"/>
      <c r="F5" s="149"/>
      <c r="G5" s="149"/>
      <c r="H5" s="133"/>
      <c r="I5" s="132" t="s">
        <v>21</v>
      </c>
      <c r="J5" s="149"/>
      <c r="K5" s="149"/>
      <c r="L5" s="149"/>
      <c r="M5" s="149"/>
      <c r="N5" s="133"/>
      <c r="O5" s="143"/>
      <c r="P5" s="144"/>
      <c r="Q5" s="144"/>
      <c r="R5" s="145"/>
    </row>
    <row r="6" spans="1:19" s="28" customFormat="1" ht="51.6" customHeight="1" x14ac:dyDescent="0.25">
      <c r="A6" s="151"/>
      <c r="B6" s="135"/>
      <c r="C6" s="132" t="s">
        <v>89</v>
      </c>
      <c r="D6" s="149"/>
      <c r="E6" s="149"/>
      <c r="F6" s="149"/>
      <c r="G6" s="149"/>
      <c r="H6" s="133"/>
      <c r="I6" s="132" t="s">
        <v>89</v>
      </c>
      <c r="J6" s="149"/>
      <c r="K6" s="149"/>
      <c r="L6" s="149"/>
      <c r="M6" s="149"/>
      <c r="N6" s="133"/>
      <c r="O6" s="146"/>
      <c r="P6" s="147"/>
      <c r="Q6" s="147"/>
      <c r="R6" s="148"/>
    </row>
    <row r="7" spans="1:19" s="28" customFormat="1" ht="110.25" x14ac:dyDescent="0.25">
      <c r="A7" s="151"/>
      <c r="B7" s="135"/>
      <c r="C7" s="132" t="s">
        <v>90</v>
      </c>
      <c r="D7" s="133"/>
      <c r="E7" s="132" t="s">
        <v>91</v>
      </c>
      <c r="F7" s="133"/>
      <c r="G7" s="132" t="s">
        <v>92</v>
      </c>
      <c r="H7" s="133"/>
      <c r="I7" s="132" t="s">
        <v>90</v>
      </c>
      <c r="J7" s="133"/>
      <c r="K7" s="132" t="s">
        <v>91</v>
      </c>
      <c r="L7" s="133"/>
      <c r="M7" s="132" t="s">
        <v>93</v>
      </c>
      <c r="N7" s="133"/>
      <c r="O7" s="132" t="s">
        <v>39</v>
      </c>
      <c r="P7" s="133"/>
      <c r="Q7" s="132" t="s">
        <v>21</v>
      </c>
      <c r="R7" s="133"/>
    </row>
    <row r="8" spans="1:19" s="103" customFormat="1" ht="21" customHeight="1" x14ac:dyDescent="0.25">
      <c r="A8" s="152"/>
      <c r="B8" s="136"/>
      <c r="C8" s="115" t="s">
        <v>17</v>
      </c>
      <c r="D8" s="115" t="s">
        <v>16</v>
      </c>
      <c r="E8" s="115" t="s">
        <v>17</v>
      </c>
      <c r="F8" s="115" t="s">
        <v>16</v>
      </c>
      <c r="G8" s="115" t="s">
        <v>17</v>
      </c>
      <c r="H8" s="115" t="s">
        <v>16</v>
      </c>
      <c r="I8" s="115" t="s">
        <v>17</v>
      </c>
      <c r="J8" s="116" t="s">
        <v>16</v>
      </c>
      <c r="K8" s="116" t="s">
        <v>17</v>
      </c>
      <c r="L8" s="116" t="s">
        <v>16</v>
      </c>
      <c r="M8" s="116" t="s">
        <v>17</v>
      </c>
      <c r="N8" s="116" t="s">
        <v>16</v>
      </c>
      <c r="O8" s="116" t="s">
        <v>17</v>
      </c>
      <c r="P8" s="116" t="s">
        <v>16</v>
      </c>
      <c r="Q8" s="116" t="s">
        <v>17</v>
      </c>
      <c r="R8" s="115" t="s">
        <v>16</v>
      </c>
    </row>
    <row r="9" spans="1:19" ht="21" customHeight="1" x14ac:dyDescent="0.25">
      <c r="A9" s="153">
        <v>1</v>
      </c>
      <c r="B9" s="117" t="s">
        <v>176</v>
      </c>
      <c r="C9" s="117">
        <v>21</v>
      </c>
      <c r="D9" s="117">
        <v>36</v>
      </c>
      <c r="E9" s="117">
        <v>49</v>
      </c>
      <c r="F9" s="117">
        <v>32</v>
      </c>
      <c r="G9" s="117">
        <v>57</v>
      </c>
      <c r="H9" s="117">
        <v>78</v>
      </c>
      <c r="I9" s="117">
        <v>50</v>
      </c>
      <c r="J9" s="117">
        <v>14</v>
      </c>
      <c r="K9" s="117">
        <v>9</v>
      </c>
      <c r="L9" s="117">
        <v>2</v>
      </c>
      <c r="M9" s="117">
        <v>42</v>
      </c>
      <c r="N9" s="117">
        <v>30</v>
      </c>
      <c r="O9" s="117">
        <v>1498</v>
      </c>
      <c r="P9" s="117">
        <v>1637</v>
      </c>
      <c r="Q9" s="117">
        <v>45</v>
      </c>
      <c r="R9" s="117">
        <v>35</v>
      </c>
      <c r="S9" s="103"/>
    </row>
    <row r="10" spans="1:19" ht="21" customHeight="1" x14ac:dyDescent="0.25">
      <c r="A10" s="154">
        <v>2</v>
      </c>
      <c r="B10" s="118" t="s">
        <v>177</v>
      </c>
      <c r="C10" s="118">
        <v>23</v>
      </c>
      <c r="D10" s="118">
        <v>21</v>
      </c>
      <c r="E10" s="118">
        <v>48</v>
      </c>
      <c r="F10" s="118">
        <v>53</v>
      </c>
      <c r="G10" s="118">
        <v>31</v>
      </c>
      <c r="H10" s="118">
        <v>33</v>
      </c>
      <c r="I10" s="118">
        <v>29</v>
      </c>
      <c r="J10" s="118">
        <v>12</v>
      </c>
      <c r="K10" s="118">
        <v>20</v>
      </c>
      <c r="L10" s="118">
        <v>9</v>
      </c>
      <c r="M10" s="118">
        <v>12</v>
      </c>
      <c r="N10" s="118">
        <v>14</v>
      </c>
      <c r="O10" s="118">
        <v>1692</v>
      </c>
      <c r="P10" s="118">
        <v>1739</v>
      </c>
      <c r="Q10" s="118">
        <v>39</v>
      </c>
      <c r="R10" s="118">
        <v>7</v>
      </c>
      <c r="S10" s="103"/>
    </row>
    <row r="11" spans="1:19" ht="21" customHeight="1" x14ac:dyDescent="0.25">
      <c r="A11" s="154">
        <v>3</v>
      </c>
      <c r="B11" s="118" t="s">
        <v>178</v>
      </c>
      <c r="C11" s="118">
        <v>26</v>
      </c>
      <c r="D11" s="118">
        <v>32</v>
      </c>
      <c r="E11" s="118">
        <v>32</v>
      </c>
      <c r="F11" s="118">
        <v>25</v>
      </c>
      <c r="G11" s="118">
        <v>36</v>
      </c>
      <c r="H11" s="118">
        <v>56</v>
      </c>
      <c r="I11" s="118">
        <v>12</v>
      </c>
      <c r="J11" s="118">
        <v>9</v>
      </c>
      <c r="K11" s="118">
        <v>53</v>
      </c>
      <c r="L11" s="118">
        <v>21</v>
      </c>
      <c r="M11" s="118">
        <v>30</v>
      </c>
      <c r="N11" s="118">
        <v>11</v>
      </c>
      <c r="O11" s="118">
        <v>1096</v>
      </c>
      <c r="P11" s="118">
        <v>1054</v>
      </c>
      <c r="Q11" s="118">
        <v>55</v>
      </c>
      <c r="R11" s="118">
        <v>38</v>
      </c>
      <c r="S11" s="103"/>
    </row>
    <row r="12" spans="1:19" ht="21" customHeight="1" x14ac:dyDescent="0.25">
      <c r="A12" s="154">
        <v>4</v>
      </c>
      <c r="B12" s="118" t="s">
        <v>179</v>
      </c>
      <c r="C12" s="118">
        <v>4</v>
      </c>
      <c r="D12" s="118">
        <v>1</v>
      </c>
      <c r="E12" s="118">
        <v>1</v>
      </c>
      <c r="F12" s="118">
        <v>2</v>
      </c>
      <c r="G12" s="118">
        <v>11</v>
      </c>
      <c r="H12" s="118">
        <v>9</v>
      </c>
      <c r="I12" s="118">
        <v>9</v>
      </c>
      <c r="J12" s="118">
        <v>2</v>
      </c>
      <c r="K12" s="118">
        <v>0</v>
      </c>
      <c r="L12" s="118">
        <v>0</v>
      </c>
      <c r="M12" s="118">
        <v>0</v>
      </c>
      <c r="N12" s="118">
        <v>0</v>
      </c>
      <c r="O12" s="118">
        <v>315</v>
      </c>
      <c r="P12" s="118">
        <v>331</v>
      </c>
      <c r="Q12" s="118">
        <v>1</v>
      </c>
      <c r="R12" s="118">
        <v>1</v>
      </c>
      <c r="S12" s="103"/>
    </row>
    <row r="13" spans="1:19" ht="21" customHeight="1" x14ac:dyDescent="0.25">
      <c r="A13" s="154">
        <v>5</v>
      </c>
      <c r="B13" s="118" t="s">
        <v>180</v>
      </c>
      <c r="C13" s="118">
        <v>3</v>
      </c>
      <c r="D13" s="118">
        <v>4</v>
      </c>
      <c r="E13" s="118">
        <v>0</v>
      </c>
      <c r="F13" s="118">
        <v>2</v>
      </c>
      <c r="G13" s="118">
        <v>22</v>
      </c>
      <c r="H13" s="118">
        <v>23</v>
      </c>
      <c r="I13" s="118">
        <v>14</v>
      </c>
      <c r="J13" s="118">
        <v>5</v>
      </c>
      <c r="K13" s="118">
        <v>2</v>
      </c>
      <c r="L13" s="118">
        <v>0</v>
      </c>
      <c r="M13" s="118">
        <v>17</v>
      </c>
      <c r="N13" s="118">
        <v>3</v>
      </c>
      <c r="O13" s="118">
        <v>1507</v>
      </c>
      <c r="P13" s="118">
        <v>1377</v>
      </c>
      <c r="Q13" s="118">
        <v>12</v>
      </c>
      <c r="R13" s="118">
        <v>17</v>
      </c>
      <c r="S13" s="103"/>
    </row>
    <row r="14" spans="1:19" ht="21" customHeight="1" x14ac:dyDescent="0.25">
      <c r="A14" s="154">
        <v>6</v>
      </c>
      <c r="B14" s="118" t="s">
        <v>181</v>
      </c>
      <c r="C14" s="118">
        <v>29</v>
      </c>
      <c r="D14" s="118">
        <v>32</v>
      </c>
      <c r="E14" s="118">
        <v>50</v>
      </c>
      <c r="F14" s="118">
        <v>56</v>
      </c>
      <c r="G14" s="118">
        <v>55</v>
      </c>
      <c r="H14" s="118">
        <v>60</v>
      </c>
      <c r="I14" s="118">
        <v>22</v>
      </c>
      <c r="J14" s="118">
        <v>9</v>
      </c>
      <c r="K14" s="118">
        <v>12</v>
      </c>
      <c r="L14" s="118">
        <v>10</v>
      </c>
      <c r="M14" s="118">
        <v>15</v>
      </c>
      <c r="N14" s="118">
        <v>7</v>
      </c>
      <c r="O14" s="118">
        <v>3942</v>
      </c>
      <c r="P14" s="118">
        <v>3545</v>
      </c>
      <c r="Q14" s="118">
        <v>19</v>
      </c>
      <c r="R14" s="118">
        <v>7</v>
      </c>
      <c r="S14" s="103"/>
    </row>
    <row r="15" spans="1:19" ht="21" customHeight="1" x14ac:dyDescent="0.25">
      <c r="A15" s="154">
        <v>7</v>
      </c>
      <c r="B15" s="118" t="s">
        <v>182</v>
      </c>
      <c r="C15" s="118">
        <v>20</v>
      </c>
      <c r="D15" s="118">
        <v>26</v>
      </c>
      <c r="E15" s="118">
        <v>7</v>
      </c>
      <c r="F15" s="118">
        <v>12</v>
      </c>
      <c r="G15" s="118">
        <v>98</v>
      </c>
      <c r="H15" s="118">
        <v>111</v>
      </c>
      <c r="I15" s="118">
        <v>15</v>
      </c>
      <c r="J15" s="118">
        <v>10</v>
      </c>
      <c r="K15" s="118">
        <v>0</v>
      </c>
      <c r="L15" s="118">
        <v>0</v>
      </c>
      <c r="M15" s="118">
        <v>6</v>
      </c>
      <c r="N15" s="118">
        <v>4</v>
      </c>
      <c r="O15" s="118">
        <v>5118</v>
      </c>
      <c r="P15" s="118">
        <v>5097</v>
      </c>
      <c r="Q15" s="118">
        <v>6</v>
      </c>
      <c r="R15" s="118">
        <v>1</v>
      </c>
      <c r="S15" s="103"/>
    </row>
    <row r="16" spans="1:19" ht="21" customHeight="1" x14ac:dyDescent="0.25">
      <c r="A16" s="154">
        <v>8</v>
      </c>
      <c r="B16" s="118" t="s">
        <v>183</v>
      </c>
      <c r="C16" s="118">
        <v>60</v>
      </c>
      <c r="D16" s="118">
        <v>36</v>
      </c>
      <c r="E16" s="118">
        <v>15</v>
      </c>
      <c r="F16" s="118">
        <v>29</v>
      </c>
      <c r="G16" s="118">
        <v>69</v>
      </c>
      <c r="H16" s="118">
        <v>82</v>
      </c>
      <c r="I16" s="118">
        <v>0</v>
      </c>
      <c r="J16" s="118">
        <v>1</v>
      </c>
      <c r="K16" s="118">
        <v>0</v>
      </c>
      <c r="L16" s="118">
        <v>0</v>
      </c>
      <c r="M16" s="118">
        <v>6</v>
      </c>
      <c r="N16" s="118">
        <v>1</v>
      </c>
      <c r="O16" s="118">
        <v>1172</v>
      </c>
      <c r="P16" s="118">
        <v>1254</v>
      </c>
      <c r="Q16" s="118">
        <v>4</v>
      </c>
      <c r="R16" s="118">
        <v>1</v>
      </c>
      <c r="S16" s="103"/>
    </row>
    <row r="17" spans="1:19" ht="21" customHeight="1" x14ac:dyDescent="0.25">
      <c r="A17" s="154">
        <v>9</v>
      </c>
      <c r="B17" s="118" t="s">
        <v>184</v>
      </c>
      <c r="C17" s="118">
        <v>5</v>
      </c>
      <c r="D17" s="118">
        <v>5</v>
      </c>
      <c r="E17" s="118">
        <v>2</v>
      </c>
      <c r="F17" s="118">
        <v>2</v>
      </c>
      <c r="G17" s="118">
        <v>22</v>
      </c>
      <c r="H17" s="118">
        <v>15</v>
      </c>
      <c r="I17" s="118">
        <v>1</v>
      </c>
      <c r="J17" s="118">
        <v>0</v>
      </c>
      <c r="K17" s="118">
        <v>4</v>
      </c>
      <c r="L17" s="118">
        <v>0</v>
      </c>
      <c r="M17" s="118">
        <v>4</v>
      </c>
      <c r="N17" s="118">
        <v>3</v>
      </c>
      <c r="O17" s="118">
        <v>812</v>
      </c>
      <c r="P17" s="118">
        <v>756</v>
      </c>
      <c r="Q17" s="118">
        <v>2</v>
      </c>
      <c r="R17" s="118">
        <v>3</v>
      </c>
      <c r="S17" s="103"/>
    </row>
    <row r="18" spans="1:19" ht="21" customHeight="1" x14ac:dyDescent="0.25">
      <c r="A18" s="154">
        <v>10</v>
      </c>
      <c r="B18" s="118" t="s">
        <v>185</v>
      </c>
      <c r="C18" s="118">
        <v>3</v>
      </c>
      <c r="D18" s="118">
        <v>4</v>
      </c>
      <c r="E18" s="118">
        <v>0</v>
      </c>
      <c r="F18" s="118">
        <v>1</v>
      </c>
      <c r="G18" s="118">
        <v>13</v>
      </c>
      <c r="H18" s="118">
        <v>7</v>
      </c>
      <c r="I18" s="118">
        <v>17</v>
      </c>
      <c r="J18" s="118">
        <v>3</v>
      </c>
      <c r="K18" s="118">
        <v>1</v>
      </c>
      <c r="L18" s="118">
        <v>0</v>
      </c>
      <c r="M18" s="118">
        <v>0</v>
      </c>
      <c r="N18" s="118">
        <v>1</v>
      </c>
      <c r="O18" s="118">
        <v>200</v>
      </c>
      <c r="P18" s="118">
        <v>170</v>
      </c>
      <c r="Q18" s="118">
        <v>12</v>
      </c>
      <c r="R18" s="118">
        <v>10</v>
      </c>
      <c r="S18" s="103"/>
    </row>
    <row r="19" spans="1:19" ht="21" customHeight="1" x14ac:dyDescent="0.25">
      <c r="A19" s="154">
        <v>11</v>
      </c>
      <c r="B19" s="118" t="s">
        <v>186</v>
      </c>
      <c r="C19" s="118">
        <v>0</v>
      </c>
      <c r="D19" s="118">
        <v>0</v>
      </c>
      <c r="E19" s="118">
        <v>1</v>
      </c>
      <c r="F19" s="118">
        <v>0</v>
      </c>
      <c r="G19" s="118">
        <v>3</v>
      </c>
      <c r="H19" s="118">
        <v>0</v>
      </c>
      <c r="I19" s="118">
        <v>0</v>
      </c>
      <c r="J19" s="118">
        <v>0</v>
      </c>
      <c r="K19" s="118">
        <v>0</v>
      </c>
      <c r="L19" s="118">
        <v>0</v>
      </c>
      <c r="M19" s="118">
        <v>0</v>
      </c>
      <c r="N19" s="118">
        <v>0</v>
      </c>
      <c r="O19" s="118">
        <v>228</v>
      </c>
      <c r="P19" s="118">
        <v>226</v>
      </c>
      <c r="Q19" s="118">
        <v>0</v>
      </c>
      <c r="R19" s="118">
        <v>0</v>
      </c>
    </row>
    <row r="20" spans="1:19" x14ac:dyDescent="0.25">
      <c r="A20" s="155"/>
      <c r="B20" s="156" t="s">
        <v>95</v>
      </c>
      <c r="C20" s="156">
        <f>SUM(C9:C19)</f>
        <v>194</v>
      </c>
      <c r="D20" s="156">
        <f t="shared" ref="D20:Q20" si="0">SUM(D9:D19)</f>
        <v>197</v>
      </c>
      <c r="E20" s="156">
        <f t="shared" si="0"/>
        <v>205</v>
      </c>
      <c r="F20" s="156">
        <f t="shared" si="0"/>
        <v>214</v>
      </c>
      <c r="G20" s="156">
        <f t="shared" si="0"/>
        <v>417</v>
      </c>
      <c r="H20" s="156">
        <f t="shared" si="0"/>
        <v>474</v>
      </c>
      <c r="I20" s="156">
        <f t="shared" si="0"/>
        <v>169</v>
      </c>
      <c r="J20" s="156">
        <f t="shared" si="0"/>
        <v>65</v>
      </c>
      <c r="K20" s="156">
        <f t="shared" si="0"/>
        <v>101</v>
      </c>
      <c r="L20" s="156">
        <f t="shared" si="0"/>
        <v>42</v>
      </c>
      <c r="M20" s="156">
        <f t="shared" si="0"/>
        <v>132</v>
      </c>
      <c r="N20" s="156">
        <f t="shared" si="0"/>
        <v>74</v>
      </c>
      <c r="O20" s="156">
        <f t="shared" si="0"/>
        <v>17580</v>
      </c>
      <c r="P20" s="156">
        <f t="shared" si="0"/>
        <v>17186</v>
      </c>
      <c r="Q20" s="156">
        <f t="shared" si="0"/>
        <v>195</v>
      </c>
      <c r="R20" s="156">
        <f>SUM(R9:R19)</f>
        <v>120</v>
      </c>
    </row>
    <row r="21" spans="1:19" x14ac:dyDescent="0.25">
      <c r="A21" s="66" t="s">
        <v>214</v>
      </c>
    </row>
  </sheetData>
  <mergeCells count="2">
    <mergeCell ref="A1:R1"/>
    <mergeCell ref="A2:R2"/>
  </mergeCells>
  <pageMargins left="0.7" right="0.44" top="0.75" bottom="0.75" header="0.3" footer="0.3"/>
  <pageSetup paperSize="9" scale="92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1"/>
  <sheetViews>
    <sheetView zoomScale="80" zoomScaleNormal="80" workbookViewId="0">
      <selection activeCell="B2" sqref="B2:R2"/>
    </sheetView>
  </sheetViews>
  <sheetFormatPr defaultColWidth="9.140625" defaultRowHeight="15.75" x14ac:dyDescent="0.25"/>
  <cols>
    <col min="1" max="1" width="5.5703125" style="8" customWidth="1"/>
    <col min="2" max="2" width="13.7109375" style="8" customWidth="1"/>
    <col min="3" max="5" width="7.7109375" style="8" customWidth="1"/>
    <col min="6" max="6" width="6.7109375" style="8" customWidth="1"/>
    <col min="7" max="9" width="7.7109375" style="8" customWidth="1"/>
    <col min="10" max="10" width="6.7109375" style="8" customWidth="1"/>
    <col min="11" max="12" width="7.7109375" style="8" customWidth="1"/>
    <col min="13" max="13" width="7.28515625" style="8" customWidth="1"/>
    <col min="14" max="14" width="7.7109375" style="8" customWidth="1"/>
    <col min="15" max="15" width="7.5703125" style="8" customWidth="1"/>
    <col min="16" max="16" width="7.7109375" style="8" customWidth="1"/>
    <col min="17" max="17" width="7.28515625" style="8" customWidth="1"/>
    <col min="18" max="18" width="7" style="8" customWidth="1"/>
    <col min="19" max="16384" width="9.140625" style="8"/>
  </cols>
  <sheetData>
    <row r="1" spans="1:18" s="33" customFormat="1" ht="15.75" customHeight="1" x14ac:dyDescent="0.25">
      <c r="A1" s="231" t="s">
        <v>248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</row>
    <row r="2" spans="1:18" s="33" customFormat="1" ht="15.75" customHeight="1" x14ac:dyDescent="0.25">
      <c r="B2" s="195" t="s">
        <v>250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</row>
    <row r="3" spans="1:18" s="33" customFormat="1" ht="19.5" customHeight="1" x14ac:dyDescent="0.25">
      <c r="A3" s="206" t="s">
        <v>86</v>
      </c>
      <c r="B3" s="232" t="s">
        <v>24</v>
      </c>
      <c r="C3" s="235" t="s">
        <v>87</v>
      </c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7"/>
      <c r="O3" s="179" t="s">
        <v>88</v>
      </c>
      <c r="P3" s="238"/>
      <c r="Q3" s="238"/>
      <c r="R3" s="239"/>
    </row>
    <row r="4" spans="1:18" s="33" customFormat="1" ht="19.5" customHeight="1" x14ac:dyDescent="0.25">
      <c r="A4" s="207"/>
      <c r="B4" s="233"/>
      <c r="C4" s="229" t="s">
        <v>39</v>
      </c>
      <c r="D4" s="243"/>
      <c r="E4" s="243"/>
      <c r="F4" s="243"/>
      <c r="G4" s="243"/>
      <c r="H4" s="230"/>
      <c r="I4" s="229" t="s">
        <v>21</v>
      </c>
      <c r="J4" s="243"/>
      <c r="K4" s="243"/>
      <c r="L4" s="243"/>
      <c r="M4" s="243"/>
      <c r="N4" s="230"/>
      <c r="O4" s="240"/>
      <c r="P4" s="175"/>
      <c r="Q4" s="175"/>
      <c r="R4" s="241"/>
    </row>
    <row r="5" spans="1:18" s="33" customFormat="1" ht="19.5" customHeight="1" x14ac:dyDescent="0.25">
      <c r="A5" s="207"/>
      <c r="B5" s="233"/>
      <c r="C5" s="229" t="s">
        <v>89</v>
      </c>
      <c r="D5" s="243"/>
      <c r="E5" s="243"/>
      <c r="F5" s="243"/>
      <c r="G5" s="243"/>
      <c r="H5" s="230"/>
      <c r="I5" s="229" t="s">
        <v>89</v>
      </c>
      <c r="J5" s="243"/>
      <c r="K5" s="243"/>
      <c r="L5" s="243"/>
      <c r="M5" s="243"/>
      <c r="N5" s="230"/>
      <c r="O5" s="180"/>
      <c r="P5" s="169"/>
      <c r="Q5" s="169"/>
      <c r="R5" s="242"/>
    </row>
    <row r="6" spans="1:18" s="33" customFormat="1" ht="58.15" customHeight="1" x14ac:dyDescent="0.25">
      <c r="A6" s="207"/>
      <c r="B6" s="233"/>
      <c r="C6" s="229" t="s">
        <v>90</v>
      </c>
      <c r="D6" s="230"/>
      <c r="E6" s="229" t="s">
        <v>91</v>
      </c>
      <c r="F6" s="230"/>
      <c r="G6" s="229" t="s">
        <v>92</v>
      </c>
      <c r="H6" s="230"/>
      <c r="I6" s="229" t="s">
        <v>90</v>
      </c>
      <c r="J6" s="230"/>
      <c r="K6" s="229" t="s">
        <v>91</v>
      </c>
      <c r="L6" s="230"/>
      <c r="M6" s="229" t="s">
        <v>93</v>
      </c>
      <c r="N6" s="230"/>
      <c r="O6" s="229" t="s">
        <v>39</v>
      </c>
      <c r="P6" s="230"/>
      <c r="Q6" s="229" t="s">
        <v>21</v>
      </c>
      <c r="R6" s="230"/>
    </row>
    <row r="7" spans="1:18" s="33" customFormat="1" x14ac:dyDescent="0.25">
      <c r="A7" s="208"/>
      <c r="B7" s="234"/>
      <c r="C7" s="102" t="s">
        <v>17</v>
      </c>
      <c r="D7" s="102" t="s">
        <v>16</v>
      </c>
      <c r="E7" s="102" t="s">
        <v>17</v>
      </c>
      <c r="F7" s="102" t="s">
        <v>16</v>
      </c>
      <c r="G7" s="102" t="s">
        <v>17</v>
      </c>
      <c r="H7" s="102" t="s">
        <v>16</v>
      </c>
      <c r="I7" s="102" t="s">
        <v>17</v>
      </c>
      <c r="J7" s="102" t="s">
        <v>16</v>
      </c>
      <c r="K7" s="102" t="s">
        <v>17</v>
      </c>
      <c r="L7" s="102" t="s">
        <v>16</v>
      </c>
      <c r="M7" s="102" t="s">
        <v>17</v>
      </c>
      <c r="N7" s="102" t="s">
        <v>16</v>
      </c>
      <c r="O7" s="102" t="s">
        <v>17</v>
      </c>
      <c r="P7" s="102" t="s">
        <v>16</v>
      </c>
      <c r="Q7" s="102" t="s">
        <v>17</v>
      </c>
      <c r="R7" s="102" t="s">
        <v>16</v>
      </c>
    </row>
    <row r="8" spans="1:18" s="33" customFormat="1" ht="22.15" customHeight="1" x14ac:dyDescent="0.25">
      <c r="A8" s="34">
        <v>1</v>
      </c>
      <c r="B8" s="70" t="s">
        <v>14</v>
      </c>
      <c r="C8" s="34">
        <f>53+55</f>
        <v>108</v>
      </c>
      <c r="D8" s="34">
        <f>32+28</f>
        <v>60</v>
      </c>
      <c r="E8" s="34">
        <f>96+9</f>
        <v>105</v>
      </c>
      <c r="F8" s="34">
        <f>56+6</f>
        <v>62</v>
      </c>
      <c r="G8" s="34">
        <f>84+55</f>
        <v>139</v>
      </c>
      <c r="H8" s="34">
        <f>127+51</f>
        <v>178</v>
      </c>
      <c r="I8" s="27">
        <v>12</v>
      </c>
      <c r="J8" s="27">
        <v>9</v>
      </c>
      <c r="K8" s="27">
        <v>35</v>
      </c>
      <c r="L8" s="27">
        <v>25</v>
      </c>
      <c r="M8" s="27">
        <v>28</v>
      </c>
      <c r="N8" s="27">
        <v>10</v>
      </c>
      <c r="O8" s="27">
        <v>514</v>
      </c>
      <c r="P8" s="27">
        <v>517</v>
      </c>
      <c r="Q8" s="27">
        <v>163</v>
      </c>
      <c r="R8" s="27">
        <v>87</v>
      </c>
    </row>
    <row r="9" spans="1:18" s="33" customFormat="1" ht="22.15" customHeight="1" x14ac:dyDescent="0.25">
      <c r="A9" s="34">
        <v>2</v>
      </c>
      <c r="B9" s="70" t="s">
        <v>94</v>
      </c>
      <c r="C9" s="27">
        <v>43</v>
      </c>
      <c r="D9" s="27">
        <v>53</v>
      </c>
      <c r="E9" s="27">
        <v>63</v>
      </c>
      <c r="F9" s="27">
        <v>62</v>
      </c>
      <c r="G9" s="27">
        <v>84</v>
      </c>
      <c r="H9" s="27">
        <v>53</v>
      </c>
      <c r="I9" s="27">
        <v>11</v>
      </c>
      <c r="J9" s="27">
        <v>7</v>
      </c>
      <c r="K9" s="27">
        <v>10</v>
      </c>
      <c r="L9" s="27">
        <v>3</v>
      </c>
      <c r="M9" s="27">
        <v>7</v>
      </c>
      <c r="N9" s="27">
        <v>4</v>
      </c>
      <c r="O9" s="27">
        <v>25</v>
      </c>
      <c r="P9" s="27">
        <v>31</v>
      </c>
      <c r="Q9" s="27">
        <v>4</v>
      </c>
      <c r="R9" s="27">
        <v>8</v>
      </c>
    </row>
    <row r="10" spans="1:18" s="33" customFormat="1" ht="22.15" customHeight="1" x14ac:dyDescent="0.25">
      <c r="A10" s="34">
        <v>3</v>
      </c>
      <c r="B10" s="70" t="s">
        <v>12</v>
      </c>
      <c r="C10" s="27">
        <v>16</v>
      </c>
      <c r="D10" s="27">
        <v>11</v>
      </c>
      <c r="E10" s="27">
        <v>32</v>
      </c>
      <c r="F10" s="27">
        <v>36</v>
      </c>
      <c r="G10" s="27">
        <v>51</v>
      </c>
      <c r="H10" s="27">
        <v>47</v>
      </c>
      <c r="I10" s="27">
        <v>16</v>
      </c>
      <c r="J10" s="27">
        <v>9</v>
      </c>
      <c r="K10" s="27">
        <v>43</v>
      </c>
      <c r="L10" s="27">
        <v>12</v>
      </c>
      <c r="M10" s="27">
        <v>69</v>
      </c>
      <c r="N10" s="27">
        <v>39</v>
      </c>
      <c r="O10" s="27">
        <v>329</v>
      </c>
      <c r="P10" s="27">
        <v>370</v>
      </c>
      <c r="Q10" s="27">
        <v>30</v>
      </c>
      <c r="R10" s="27">
        <v>21</v>
      </c>
    </row>
    <row r="11" spans="1:18" s="33" customFormat="1" ht="22.15" customHeight="1" x14ac:dyDescent="0.25">
      <c r="A11" s="34">
        <v>4</v>
      </c>
      <c r="B11" s="70" t="s">
        <v>11</v>
      </c>
      <c r="C11" s="27">
        <f>3+6</f>
        <v>9</v>
      </c>
      <c r="D11" s="27">
        <f>1+2</f>
        <v>3</v>
      </c>
      <c r="E11" s="27">
        <v>2</v>
      </c>
      <c r="F11" s="27">
        <v>0</v>
      </c>
      <c r="G11" s="27">
        <f>5+5</f>
        <v>10</v>
      </c>
      <c r="H11" s="27">
        <f>6+3</f>
        <v>9</v>
      </c>
      <c r="I11" s="27">
        <v>19</v>
      </c>
      <c r="J11" s="27">
        <v>1</v>
      </c>
      <c r="K11" s="27">
        <v>0</v>
      </c>
      <c r="L11" s="27">
        <v>1</v>
      </c>
      <c r="M11" s="27">
        <v>0</v>
      </c>
      <c r="N11" s="27">
        <v>0</v>
      </c>
      <c r="O11" s="27">
        <v>331</v>
      </c>
      <c r="P11" s="27">
        <v>338</v>
      </c>
      <c r="Q11" s="27">
        <v>18</v>
      </c>
      <c r="R11" s="27">
        <v>6</v>
      </c>
    </row>
    <row r="12" spans="1:18" s="33" customFormat="1" ht="22.15" customHeight="1" x14ac:dyDescent="0.25">
      <c r="A12" s="34">
        <v>5</v>
      </c>
      <c r="B12" s="70" t="s">
        <v>10</v>
      </c>
      <c r="C12" s="34">
        <v>5</v>
      </c>
      <c r="D12" s="34">
        <v>4</v>
      </c>
      <c r="E12" s="34">
        <v>2</v>
      </c>
      <c r="F12" s="34">
        <v>2</v>
      </c>
      <c r="G12" s="34">
        <v>25</v>
      </c>
      <c r="H12" s="34">
        <v>28</v>
      </c>
      <c r="I12" s="27">
        <v>20</v>
      </c>
      <c r="J12" s="27">
        <v>20</v>
      </c>
      <c r="K12" s="27">
        <v>5</v>
      </c>
      <c r="L12" s="27">
        <v>10</v>
      </c>
      <c r="M12" s="27">
        <v>65</v>
      </c>
      <c r="N12" s="27">
        <v>5</v>
      </c>
      <c r="O12" s="27">
        <v>634</v>
      </c>
      <c r="P12" s="27">
        <v>627</v>
      </c>
      <c r="Q12" s="27">
        <v>39</v>
      </c>
      <c r="R12" s="27">
        <v>6</v>
      </c>
    </row>
    <row r="13" spans="1:18" s="33" customFormat="1" ht="22.15" customHeight="1" x14ac:dyDescent="0.25">
      <c r="A13" s="34">
        <v>6</v>
      </c>
      <c r="B13" s="70" t="s">
        <v>9</v>
      </c>
      <c r="C13" s="27">
        <v>27</v>
      </c>
      <c r="D13" s="27">
        <v>29</v>
      </c>
      <c r="E13" s="27">
        <v>30</v>
      </c>
      <c r="F13" s="27">
        <v>32</v>
      </c>
      <c r="G13" s="27">
        <v>20</v>
      </c>
      <c r="H13" s="27">
        <v>23</v>
      </c>
      <c r="I13" s="27">
        <v>15</v>
      </c>
      <c r="J13" s="27">
        <v>5</v>
      </c>
      <c r="K13" s="27">
        <v>46</v>
      </c>
      <c r="L13" s="27">
        <v>7</v>
      </c>
      <c r="M13" s="27">
        <v>17</v>
      </c>
      <c r="N13" s="27">
        <v>2</v>
      </c>
      <c r="O13" s="27">
        <v>670</v>
      </c>
      <c r="P13" s="27">
        <v>650</v>
      </c>
      <c r="Q13" s="27">
        <v>24</v>
      </c>
      <c r="R13" s="27">
        <v>8</v>
      </c>
    </row>
    <row r="14" spans="1:18" s="33" customFormat="1" ht="22.15" customHeight="1" x14ac:dyDescent="0.25">
      <c r="A14" s="34">
        <v>7</v>
      </c>
      <c r="B14" s="70" t="s">
        <v>8</v>
      </c>
      <c r="C14" s="27">
        <v>6</v>
      </c>
      <c r="D14" s="27">
        <v>16</v>
      </c>
      <c r="E14" s="27">
        <v>6</v>
      </c>
      <c r="F14" s="27">
        <v>2</v>
      </c>
      <c r="G14" s="27">
        <v>78</v>
      </c>
      <c r="H14" s="27">
        <v>82</v>
      </c>
      <c r="I14" s="27">
        <v>49</v>
      </c>
      <c r="J14" s="27">
        <v>3</v>
      </c>
      <c r="K14" s="27">
        <v>16</v>
      </c>
      <c r="L14" s="27">
        <v>3</v>
      </c>
      <c r="M14" s="27">
        <v>53</v>
      </c>
      <c r="N14" s="27">
        <v>15</v>
      </c>
      <c r="O14" s="27">
        <v>1151</v>
      </c>
      <c r="P14" s="27">
        <v>1035</v>
      </c>
      <c r="Q14" s="27">
        <v>11</v>
      </c>
      <c r="R14" s="27">
        <v>6</v>
      </c>
    </row>
    <row r="15" spans="1:18" s="33" customFormat="1" ht="22.15" customHeight="1" x14ac:dyDescent="0.25">
      <c r="A15" s="34">
        <v>8</v>
      </c>
      <c r="B15" s="70" t="s">
        <v>7</v>
      </c>
      <c r="C15" s="21">
        <f>312+90</f>
        <v>402</v>
      </c>
      <c r="D15" s="21">
        <f>378+80</f>
        <v>458</v>
      </c>
      <c r="E15" s="21">
        <f>262+28</f>
        <v>290</v>
      </c>
      <c r="F15" s="21">
        <f>200+27</f>
        <v>227</v>
      </c>
      <c r="G15" s="21">
        <f>500+180</f>
        <v>680</v>
      </c>
      <c r="H15" s="21">
        <f>524+162</f>
        <v>686</v>
      </c>
      <c r="I15" s="21">
        <v>414</v>
      </c>
      <c r="J15" s="21">
        <v>161</v>
      </c>
      <c r="K15" s="21">
        <v>203</v>
      </c>
      <c r="L15" s="21">
        <v>139</v>
      </c>
      <c r="M15" s="21">
        <v>171</v>
      </c>
      <c r="N15" s="27">
        <v>69</v>
      </c>
      <c r="O15" s="27">
        <v>8009</v>
      </c>
      <c r="P15" s="27">
        <v>8319</v>
      </c>
      <c r="Q15" s="27">
        <v>467</v>
      </c>
      <c r="R15" s="27">
        <v>139</v>
      </c>
    </row>
    <row r="16" spans="1:18" s="33" customFormat="1" ht="22.15" customHeight="1" x14ac:dyDescent="0.25">
      <c r="A16" s="34">
        <v>9</v>
      </c>
      <c r="B16" s="70" t="s">
        <v>6</v>
      </c>
      <c r="C16" s="27">
        <v>31</v>
      </c>
      <c r="D16" s="27">
        <v>44</v>
      </c>
      <c r="E16" s="27">
        <v>2</v>
      </c>
      <c r="F16" s="27">
        <v>0</v>
      </c>
      <c r="G16" s="27">
        <v>9</v>
      </c>
      <c r="H16" s="27">
        <v>12</v>
      </c>
      <c r="I16" s="27">
        <v>3</v>
      </c>
      <c r="J16" s="27">
        <v>0</v>
      </c>
      <c r="K16" s="27">
        <v>0</v>
      </c>
      <c r="L16" s="27">
        <v>0</v>
      </c>
      <c r="M16" s="27">
        <v>2</v>
      </c>
      <c r="N16" s="27">
        <v>2</v>
      </c>
      <c r="O16" s="27">
        <v>232</v>
      </c>
      <c r="P16" s="27">
        <v>241</v>
      </c>
      <c r="Q16" s="27">
        <v>1</v>
      </c>
      <c r="R16" s="27">
        <v>3</v>
      </c>
    </row>
    <row r="17" spans="1:18" s="33" customFormat="1" ht="22.15" customHeight="1" x14ac:dyDescent="0.25">
      <c r="A17" s="34">
        <v>10</v>
      </c>
      <c r="B17" s="70" t="s">
        <v>5</v>
      </c>
      <c r="C17" s="27">
        <v>4</v>
      </c>
      <c r="D17" s="27">
        <v>10</v>
      </c>
      <c r="E17" s="27">
        <v>0</v>
      </c>
      <c r="F17" s="27">
        <v>1</v>
      </c>
      <c r="G17" s="27">
        <v>3</v>
      </c>
      <c r="H17" s="27">
        <v>8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101</v>
      </c>
      <c r="P17" s="27">
        <v>77</v>
      </c>
      <c r="Q17" s="27">
        <v>16</v>
      </c>
      <c r="R17" s="27">
        <v>55</v>
      </c>
    </row>
    <row r="18" spans="1:18" s="33" customFormat="1" ht="22.15" customHeight="1" x14ac:dyDescent="0.25">
      <c r="A18" s="34">
        <v>11</v>
      </c>
      <c r="B18" s="70" t="s">
        <v>4</v>
      </c>
      <c r="C18" s="27">
        <v>7</v>
      </c>
      <c r="D18" s="27">
        <v>4</v>
      </c>
      <c r="E18" s="27">
        <v>0</v>
      </c>
      <c r="F18" s="27">
        <v>0</v>
      </c>
      <c r="G18" s="27">
        <v>1</v>
      </c>
      <c r="H18" s="27">
        <v>0</v>
      </c>
      <c r="I18" s="27">
        <v>13</v>
      </c>
      <c r="J18" s="27">
        <v>3</v>
      </c>
      <c r="K18" s="27">
        <v>3</v>
      </c>
      <c r="L18" s="27">
        <v>0</v>
      </c>
      <c r="M18" s="27">
        <v>12</v>
      </c>
      <c r="N18" s="27">
        <v>3</v>
      </c>
      <c r="O18" s="27">
        <v>199</v>
      </c>
      <c r="P18" s="27">
        <v>170</v>
      </c>
      <c r="Q18" s="27">
        <v>0</v>
      </c>
      <c r="R18" s="27">
        <v>0</v>
      </c>
    </row>
    <row r="19" spans="1:18" s="33" customFormat="1" ht="30" customHeight="1" x14ac:dyDescent="0.25">
      <c r="A19" s="72"/>
      <c r="B19" s="112" t="s">
        <v>95</v>
      </c>
      <c r="C19" s="29">
        <f>SUM(C8:C18)</f>
        <v>658</v>
      </c>
      <c r="D19" s="29">
        <f t="shared" ref="D19:R19" si="0">SUM(D8:D18)</f>
        <v>692</v>
      </c>
      <c r="E19" s="29">
        <f t="shared" si="0"/>
        <v>532</v>
      </c>
      <c r="F19" s="29">
        <f t="shared" si="0"/>
        <v>424</v>
      </c>
      <c r="G19" s="29">
        <f t="shared" si="0"/>
        <v>1100</v>
      </c>
      <c r="H19" s="29">
        <f t="shared" si="0"/>
        <v>1126</v>
      </c>
      <c r="I19" s="29">
        <f t="shared" si="0"/>
        <v>572</v>
      </c>
      <c r="J19" s="29">
        <f t="shared" si="0"/>
        <v>218</v>
      </c>
      <c r="K19" s="29">
        <f t="shared" si="0"/>
        <v>361</v>
      </c>
      <c r="L19" s="29">
        <f t="shared" si="0"/>
        <v>200</v>
      </c>
      <c r="M19" s="29">
        <f t="shared" si="0"/>
        <v>424</v>
      </c>
      <c r="N19" s="29">
        <f t="shared" si="0"/>
        <v>149</v>
      </c>
      <c r="O19" s="29">
        <f t="shared" si="0"/>
        <v>12195</v>
      </c>
      <c r="P19" s="29">
        <f t="shared" si="0"/>
        <v>12375</v>
      </c>
      <c r="Q19" s="29">
        <f t="shared" si="0"/>
        <v>773</v>
      </c>
      <c r="R19" s="29">
        <f t="shared" si="0"/>
        <v>339</v>
      </c>
    </row>
    <row r="20" spans="1:18" ht="22.15" customHeight="1" x14ac:dyDescent="0.25"/>
    <row r="21" spans="1:18" x14ac:dyDescent="0.25">
      <c r="A21" s="66" t="s">
        <v>214</v>
      </c>
      <c r="B21" s="60"/>
      <c r="C21" s="60"/>
      <c r="D21" s="28"/>
      <c r="E21" s="28"/>
      <c r="F21" s="28"/>
    </row>
  </sheetData>
  <mergeCells count="18">
    <mergeCell ref="B2:R2"/>
    <mergeCell ref="A1:R1"/>
    <mergeCell ref="A3:A7"/>
    <mergeCell ref="B3:B7"/>
    <mergeCell ref="C3:N3"/>
    <mergeCell ref="O3:R5"/>
    <mergeCell ref="C4:H4"/>
    <mergeCell ref="I4:N4"/>
    <mergeCell ref="C5:H5"/>
    <mergeCell ref="I5:N5"/>
    <mergeCell ref="O6:P6"/>
    <mergeCell ref="Q6:R6"/>
    <mergeCell ref="C6:D6"/>
    <mergeCell ref="E6:F6"/>
    <mergeCell ref="G6:H6"/>
    <mergeCell ref="I6:J6"/>
    <mergeCell ref="K6:L6"/>
    <mergeCell ref="M6:N6"/>
  </mergeCells>
  <pageMargins left="0.39" right="0.24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22"/>
  <sheetViews>
    <sheetView zoomScale="80" zoomScaleNormal="80" workbookViewId="0">
      <selection activeCell="N32" sqref="N32"/>
    </sheetView>
  </sheetViews>
  <sheetFormatPr defaultColWidth="9.140625" defaultRowHeight="15.75" x14ac:dyDescent="0.25"/>
  <cols>
    <col min="1" max="1" width="5.42578125" style="3" customWidth="1"/>
    <col min="2" max="2" width="16" style="3" customWidth="1"/>
    <col min="3" max="4" width="6.5703125" style="3" customWidth="1"/>
    <col min="5" max="6" width="7" style="3" customWidth="1"/>
    <col min="7" max="8" width="7.7109375" style="3" customWidth="1"/>
    <col min="9" max="10" width="6.42578125" style="3" customWidth="1"/>
    <col min="11" max="12" width="6.85546875" style="3" customWidth="1"/>
    <col min="13" max="14" width="7" style="3" customWidth="1"/>
    <col min="15" max="16384" width="9.140625" style="3"/>
  </cols>
  <sheetData>
    <row r="1" spans="1:18" s="7" customFormat="1" x14ac:dyDescent="0.25">
      <c r="A1" s="183" t="s">
        <v>249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 s="7" customFormat="1" x14ac:dyDescent="0.25">
      <c r="A2" s="183" t="s">
        <v>217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 s="7" customFormat="1" x14ac:dyDescent="0.25">
      <c r="A3" s="71"/>
      <c r="B3" s="60"/>
      <c r="C3" s="60"/>
    </row>
    <row r="4" spans="1:18" s="7" customFormat="1" ht="15" customHeight="1" x14ac:dyDescent="0.25">
      <c r="A4" s="209" t="s">
        <v>187</v>
      </c>
      <c r="B4" s="209" t="s">
        <v>24</v>
      </c>
      <c r="C4" s="209" t="s">
        <v>188</v>
      </c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45" t="s">
        <v>88</v>
      </c>
      <c r="P4" s="245"/>
      <c r="Q4" s="245"/>
      <c r="R4" s="245"/>
    </row>
    <row r="5" spans="1:18" s="7" customFormat="1" x14ac:dyDescent="0.25">
      <c r="A5" s="209"/>
      <c r="B5" s="209"/>
      <c r="C5" s="209" t="s">
        <v>39</v>
      </c>
      <c r="D5" s="209"/>
      <c r="E5" s="209"/>
      <c r="F5" s="209"/>
      <c r="G5" s="209"/>
      <c r="H5" s="209"/>
      <c r="I5" s="209" t="s">
        <v>21</v>
      </c>
      <c r="J5" s="209"/>
      <c r="K5" s="209"/>
      <c r="L5" s="209"/>
      <c r="M5" s="209"/>
      <c r="N5" s="209"/>
      <c r="O5" s="245"/>
      <c r="P5" s="245"/>
      <c r="Q5" s="245"/>
      <c r="R5" s="245"/>
    </row>
    <row r="6" spans="1:18" s="7" customFormat="1" x14ac:dyDescent="0.25">
      <c r="A6" s="209"/>
      <c r="B6" s="209"/>
      <c r="C6" s="209" t="s">
        <v>89</v>
      </c>
      <c r="D6" s="209"/>
      <c r="E6" s="209"/>
      <c r="F6" s="209"/>
      <c r="G6" s="209"/>
      <c r="H6" s="209"/>
      <c r="I6" s="209" t="s">
        <v>89</v>
      </c>
      <c r="J6" s="209"/>
      <c r="K6" s="209"/>
      <c r="L6" s="209"/>
      <c r="M6" s="209"/>
      <c r="N6" s="209"/>
      <c r="O6" s="245"/>
      <c r="P6" s="245"/>
      <c r="Q6" s="245"/>
      <c r="R6" s="245"/>
    </row>
    <row r="7" spans="1:18" s="33" customFormat="1" ht="46.9" customHeight="1" x14ac:dyDescent="0.25">
      <c r="A7" s="209"/>
      <c r="B7" s="209"/>
      <c r="C7" s="244" t="s">
        <v>90</v>
      </c>
      <c r="D7" s="244"/>
      <c r="E7" s="244" t="s">
        <v>91</v>
      </c>
      <c r="F7" s="244"/>
      <c r="G7" s="244" t="s">
        <v>92</v>
      </c>
      <c r="H7" s="244"/>
      <c r="I7" s="244" t="s">
        <v>90</v>
      </c>
      <c r="J7" s="244"/>
      <c r="K7" s="244" t="s">
        <v>91</v>
      </c>
      <c r="L7" s="244"/>
      <c r="M7" s="244" t="s">
        <v>93</v>
      </c>
      <c r="N7" s="244"/>
      <c r="O7" s="244" t="s">
        <v>39</v>
      </c>
      <c r="P7" s="244"/>
      <c r="Q7" s="244" t="s">
        <v>21</v>
      </c>
      <c r="R7" s="244"/>
    </row>
    <row r="8" spans="1:18" s="7" customFormat="1" x14ac:dyDescent="0.25">
      <c r="A8" s="209"/>
      <c r="B8" s="209"/>
      <c r="C8" s="29" t="s">
        <v>17</v>
      </c>
      <c r="D8" s="29" t="s">
        <v>16</v>
      </c>
      <c r="E8" s="29" t="s">
        <v>17</v>
      </c>
      <c r="F8" s="29" t="s">
        <v>16</v>
      </c>
      <c r="G8" s="29" t="s">
        <v>17</v>
      </c>
      <c r="H8" s="29" t="s">
        <v>16</v>
      </c>
      <c r="I8" s="29" t="s">
        <v>17</v>
      </c>
      <c r="J8" s="29" t="s">
        <v>16</v>
      </c>
      <c r="K8" s="29" t="s">
        <v>17</v>
      </c>
      <c r="L8" s="29" t="s">
        <v>16</v>
      </c>
      <c r="M8" s="29" t="s">
        <v>17</v>
      </c>
      <c r="N8" s="29" t="s">
        <v>16</v>
      </c>
      <c r="O8" s="29" t="s">
        <v>17</v>
      </c>
      <c r="P8" s="29" t="s">
        <v>16</v>
      </c>
      <c r="Q8" s="29" t="s">
        <v>17</v>
      </c>
      <c r="R8" s="29" t="s">
        <v>16</v>
      </c>
    </row>
    <row r="9" spans="1:18" s="7" customFormat="1" ht="21" customHeight="1" x14ac:dyDescent="0.25">
      <c r="A9" s="27">
        <v>1</v>
      </c>
      <c r="B9" s="10" t="s">
        <v>189</v>
      </c>
      <c r="C9" s="43">
        <v>129</v>
      </c>
      <c r="D9" s="43">
        <v>96</v>
      </c>
      <c r="E9" s="43">
        <v>154</v>
      </c>
      <c r="F9" s="43">
        <v>94</v>
      </c>
      <c r="G9" s="43">
        <v>196</v>
      </c>
      <c r="H9" s="43">
        <v>256</v>
      </c>
      <c r="I9" s="43">
        <v>62</v>
      </c>
      <c r="J9" s="43">
        <v>23</v>
      </c>
      <c r="K9" s="43">
        <v>44</v>
      </c>
      <c r="L9" s="43">
        <v>27</v>
      </c>
      <c r="M9" s="43">
        <v>70</v>
      </c>
      <c r="N9" s="43">
        <v>40</v>
      </c>
      <c r="O9" s="43">
        <v>2012</v>
      </c>
      <c r="P9" s="43">
        <v>2154</v>
      </c>
      <c r="Q9" s="43">
        <v>208</v>
      </c>
      <c r="R9" s="43">
        <v>122</v>
      </c>
    </row>
    <row r="10" spans="1:18" s="7" customFormat="1" ht="21" customHeight="1" x14ac:dyDescent="0.25">
      <c r="A10" s="27">
        <v>2</v>
      </c>
      <c r="B10" s="10" t="s">
        <v>190</v>
      </c>
      <c r="C10" s="43">
        <v>66</v>
      </c>
      <c r="D10" s="43">
        <v>74</v>
      </c>
      <c r="E10" s="43">
        <v>111</v>
      </c>
      <c r="F10" s="43">
        <v>115</v>
      </c>
      <c r="G10" s="43">
        <v>115</v>
      </c>
      <c r="H10" s="43">
        <v>86</v>
      </c>
      <c r="I10" s="43">
        <v>40</v>
      </c>
      <c r="J10" s="43">
        <v>19</v>
      </c>
      <c r="K10" s="43">
        <v>30</v>
      </c>
      <c r="L10" s="43">
        <v>12</v>
      </c>
      <c r="M10" s="43">
        <v>19</v>
      </c>
      <c r="N10" s="43">
        <v>18</v>
      </c>
      <c r="O10" s="43">
        <v>1717</v>
      </c>
      <c r="P10" s="43">
        <v>1770</v>
      </c>
      <c r="Q10" s="43">
        <v>43</v>
      </c>
      <c r="R10" s="43">
        <v>15</v>
      </c>
    </row>
    <row r="11" spans="1:18" s="7" customFormat="1" ht="21" customHeight="1" x14ac:dyDescent="0.25">
      <c r="A11" s="27">
        <v>3</v>
      </c>
      <c r="B11" s="10" t="s">
        <v>191</v>
      </c>
      <c r="C11" s="43">
        <v>42</v>
      </c>
      <c r="D11" s="43">
        <v>43</v>
      </c>
      <c r="E11" s="43">
        <v>64</v>
      </c>
      <c r="F11" s="43">
        <v>61</v>
      </c>
      <c r="G11" s="43">
        <v>87</v>
      </c>
      <c r="H11" s="43">
        <v>103</v>
      </c>
      <c r="I11" s="43">
        <v>28</v>
      </c>
      <c r="J11" s="43">
        <v>18</v>
      </c>
      <c r="K11" s="43">
        <v>96</v>
      </c>
      <c r="L11" s="43">
        <v>33</v>
      </c>
      <c r="M11" s="43">
        <v>99</v>
      </c>
      <c r="N11" s="43">
        <v>50</v>
      </c>
      <c r="O11" s="43">
        <v>1425</v>
      </c>
      <c r="P11" s="43">
        <v>1424</v>
      </c>
      <c r="Q11" s="43">
        <v>85</v>
      </c>
      <c r="R11" s="43">
        <v>59</v>
      </c>
    </row>
    <row r="12" spans="1:18" s="7" customFormat="1" ht="21" customHeight="1" x14ac:dyDescent="0.25">
      <c r="A12" s="27">
        <v>4</v>
      </c>
      <c r="B12" s="10" t="s">
        <v>192</v>
      </c>
      <c r="C12" s="43">
        <v>13</v>
      </c>
      <c r="D12" s="43">
        <v>4</v>
      </c>
      <c r="E12" s="43">
        <v>3</v>
      </c>
      <c r="F12" s="43">
        <v>2</v>
      </c>
      <c r="G12" s="43">
        <v>21</v>
      </c>
      <c r="H12" s="43">
        <v>18</v>
      </c>
      <c r="I12" s="43">
        <v>28</v>
      </c>
      <c r="J12" s="43">
        <v>3</v>
      </c>
      <c r="K12" s="43">
        <v>0</v>
      </c>
      <c r="L12" s="43">
        <v>1</v>
      </c>
      <c r="M12" s="43">
        <v>0</v>
      </c>
      <c r="N12" s="43">
        <v>0</v>
      </c>
      <c r="O12" s="43">
        <v>646</v>
      </c>
      <c r="P12" s="43">
        <v>669</v>
      </c>
      <c r="Q12" s="43">
        <v>19</v>
      </c>
      <c r="R12" s="43">
        <v>7</v>
      </c>
    </row>
    <row r="13" spans="1:18" s="7" customFormat="1" ht="21" customHeight="1" x14ac:dyDescent="0.25">
      <c r="A13" s="27">
        <v>5</v>
      </c>
      <c r="B13" s="10" t="s">
        <v>193</v>
      </c>
      <c r="C13" s="43">
        <v>8</v>
      </c>
      <c r="D13" s="43">
        <v>8</v>
      </c>
      <c r="E13" s="43">
        <v>2</v>
      </c>
      <c r="F13" s="43">
        <v>4</v>
      </c>
      <c r="G13" s="43">
        <v>47</v>
      </c>
      <c r="H13" s="43">
        <v>51</v>
      </c>
      <c r="I13" s="43">
        <v>34</v>
      </c>
      <c r="J13" s="43">
        <v>25</v>
      </c>
      <c r="K13" s="43">
        <v>7</v>
      </c>
      <c r="L13" s="43">
        <v>10</v>
      </c>
      <c r="M13" s="43">
        <v>82</v>
      </c>
      <c r="N13" s="43">
        <v>8</v>
      </c>
      <c r="O13" s="43">
        <v>2141</v>
      </c>
      <c r="P13" s="43">
        <v>2004</v>
      </c>
      <c r="Q13" s="43">
        <v>51</v>
      </c>
      <c r="R13" s="43">
        <v>23</v>
      </c>
    </row>
    <row r="14" spans="1:18" s="7" customFormat="1" ht="21" customHeight="1" x14ac:dyDescent="0.25">
      <c r="A14" s="27">
        <v>6</v>
      </c>
      <c r="B14" s="10" t="s">
        <v>194</v>
      </c>
      <c r="C14" s="43">
        <v>56</v>
      </c>
      <c r="D14" s="43">
        <v>61</v>
      </c>
      <c r="E14" s="43">
        <v>80</v>
      </c>
      <c r="F14" s="43">
        <v>88</v>
      </c>
      <c r="G14" s="43">
        <v>75</v>
      </c>
      <c r="H14" s="43">
        <v>83</v>
      </c>
      <c r="I14" s="43">
        <v>37</v>
      </c>
      <c r="J14" s="43">
        <v>14</v>
      </c>
      <c r="K14" s="43">
        <v>58</v>
      </c>
      <c r="L14" s="43">
        <v>17</v>
      </c>
      <c r="M14" s="43">
        <v>32</v>
      </c>
      <c r="N14" s="43">
        <v>9</v>
      </c>
      <c r="O14" s="43">
        <v>4612</v>
      </c>
      <c r="P14" s="43">
        <v>4195</v>
      </c>
      <c r="Q14" s="43">
        <v>43</v>
      </c>
      <c r="R14" s="43">
        <v>15</v>
      </c>
    </row>
    <row r="15" spans="1:18" s="7" customFormat="1" ht="21" customHeight="1" x14ac:dyDescent="0.25">
      <c r="A15" s="27">
        <v>7</v>
      </c>
      <c r="B15" s="10" t="s">
        <v>195</v>
      </c>
      <c r="C15" s="43">
        <v>26</v>
      </c>
      <c r="D15" s="43">
        <v>42</v>
      </c>
      <c r="E15" s="43">
        <v>13</v>
      </c>
      <c r="F15" s="43">
        <v>14</v>
      </c>
      <c r="G15" s="43">
        <v>176</v>
      </c>
      <c r="H15" s="43">
        <v>193</v>
      </c>
      <c r="I15" s="43">
        <v>64</v>
      </c>
      <c r="J15" s="43">
        <v>13</v>
      </c>
      <c r="K15" s="43">
        <v>16</v>
      </c>
      <c r="L15" s="43">
        <v>3</v>
      </c>
      <c r="M15" s="43">
        <v>59</v>
      </c>
      <c r="N15" s="43">
        <v>19</v>
      </c>
      <c r="O15" s="43">
        <v>6269</v>
      </c>
      <c r="P15" s="43">
        <v>6132</v>
      </c>
      <c r="Q15" s="43">
        <v>17</v>
      </c>
      <c r="R15" s="43">
        <v>7</v>
      </c>
    </row>
    <row r="16" spans="1:18" s="7" customFormat="1" ht="21" customHeight="1" x14ac:dyDescent="0.25">
      <c r="A16" s="27">
        <v>8</v>
      </c>
      <c r="B16" s="10" t="s">
        <v>196</v>
      </c>
      <c r="C16" s="43">
        <v>462</v>
      </c>
      <c r="D16" s="43">
        <v>494</v>
      </c>
      <c r="E16" s="43">
        <v>305</v>
      </c>
      <c r="F16" s="43">
        <v>256</v>
      </c>
      <c r="G16" s="43">
        <v>749</v>
      </c>
      <c r="H16" s="43">
        <v>768</v>
      </c>
      <c r="I16" s="43">
        <v>414</v>
      </c>
      <c r="J16" s="43">
        <v>162</v>
      </c>
      <c r="K16" s="43">
        <v>203</v>
      </c>
      <c r="L16" s="43">
        <v>139</v>
      </c>
      <c r="M16" s="43">
        <v>177</v>
      </c>
      <c r="N16" s="43">
        <v>70</v>
      </c>
      <c r="O16" s="43">
        <v>9181</v>
      </c>
      <c r="P16" s="43">
        <v>9573</v>
      </c>
      <c r="Q16" s="43">
        <v>471</v>
      </c>
      <c r="R16" s="43">
        <v>140</v>
      </c>
    </row>
    <row r="17" spans="1:18" s="7" customFormat="1" ht="21" customHeight="1" x14ac:dyDescent="0.25">
      <c r="A17" s="27">
        <v>9</v>
      </c>
      <c r="B17" s="10" t="s">
        <v>197</v>
      </c>
      <c r="C17" s="43">
        <v>36</v>
      </c>
      <c r="D17" s="43">
        <v>49</v>
      </c>
      <c r="E17" s="43">
        <v>4</v>
      </c>
      <c r="F17" s="43">
        <v>2</v>
      </c>
      <c r="G17" s="43">
        <v>31</v>
      </c>
      <c r="H17" s="43">
        <v>27</v>
      </c>
      <c r="I17" s="43">
        <v>4</v>
      </c>
      <c r="J17" s="43">
        <v>0</v>
      </c>
      <c r="K17" s="43">
        <v>4</v>
      </c>
      <c r="L17" s="43">
        <v>0</v>
      </c>
      <c r="M17" s="43">
        <v>6</v>
      </c>
      <c r="N17" s="43">
        <v>5</v>
      </c>
      <c r="O17" s="43">
        <v>1044</v>
      </c>
      <c r="P17" s="43">
        <v>997</v>
      </c>
      <c r="Q17" s="43">
        <v>3</v>
      </c>
      <c r="R17" s="43">
        <v>6</v>
      </c>
    </row>
    <row r="18" spans="1:18" s="7" customFormat="1" ht="21" customHeight="1" x14ac:dyDescent="0.25">
      <c r="A18" s="27">
        <v>10</v>
      </c>
      <c r="B18" s="10" t="s">
        <v>198</v>
      </c>
      <c r="C18" s="43">
        <v>7</v>
      </c>
      <c r="D18" s="43">
        <v>14</v>
      </c>
      <c r="E18" s="43">
        <v>0</v>
      </c>
      <c r="F18" s="43">
        <v>2</v>
      </c>
      <c r="G18" s="43">
        <v>16</v>
      </c>
      <c r="H18" s="43">
        <v>15</v>
      </c>
      <c r="I18" s="43">
        <v>17</v>
      </c>
      <c r="J18" s="43">
        <v>3</v>
      </c>
      <c r="K18" s="43">
        <v>1</v>
      </c>
      <c r="L18" s="43">
        <v>0</v>
      </c>
      <c r="M18" s="43">
        <v>0</v>
      </c>
      <c r="N18" s="43">
        <v>1</v>
      </c>
      <c r="O18" s="43">
        <v>301</v>
      </c>
      <c r="P18" s="43">
        <v>247</v>
      </c>
      <c r="Q18" s="43">
        <v>28</v>
      </c>
      <c r="R18" s="43">
        <v>65</v>
      </c>
    </row>
    <row r="19" spans="1:18" s="7" customFormat="1" ht="21" customHeight="1" x14ac:dyDescent="0.25">
      <c r="A19" s="27">
        <v>11</v>
      </c>
      <c r="B19" s="10" t="s">
        <v>199</v>
      </c>
      <c r="C19" s="43">
        <v>7</v>
      </c>
      <c r="D19" s="43">
        <v>4</v>
      </c>
      <c r="E19" s="43">
        <v>1</v>
      </c>
      <c r="F19" s="43">
        <v>0</v>
      </c>
      <c r="G19" s="43">
        <v>4</v>
      </c>
      <c r="H19" s="43">
        <v>0</v>
      </c>
      <c r="I19" s="43">
        <v>13</v>
      </c>
      <c r="J19" s="43">
        <v>3</v>
      </c>
      <c r="K19" s="43">
        <v>3</v>
      </c>
      <c r="L19" s="43">
        <v>0</v>
      </c>
      <c r="M19" s="43">
        <v>12</v>
      </c>
      <c r="N19" s="43">
        <v>3</v>
      </c>
      <c r="O19" s="43">
        <v>427</v>
      </c>
      <c r="P19" s="43">
        <v>396</v>
      </c>
      <c r="Q19" s="43">
        <v>0</v>
      </c>
      <c r="R19" s="43">
        <v>0</v>
      </c>
    </row>
    <row r="20" spans="1:18" s="7" customFormat="1" ht="21" customHeight="1" x14ac:dyDescent="0.25">
      <c r="A20" s="27"/>
      <c r="B20" s="104" t="s">
        <v>95</v>
      </c>
      <c r="C20" s="113">
        <f>SUM(C9:C19)</f>
        <v>852</v>
      </c>
      <c r="D20" s="113">
        <f t="shared" ref="D20:R20" si="0">SUM(D9:D19)</f>
        <v>889</v>
      </c>
      <c r="E20" s="113">
        <f t="shared" si="0"/>
        <v>737</v>
      </c>
      <c r="F20" s="113">
        <f t="shared" si="0"/>
        <v>638</v>
      </c>
      <c r="G20" s="113">
        <f t="shared" si="0"/>
        <v>1517</v>
      </c>
      <c r="H20" s="113">
        <f t="shared" si="0"/>
        <v>1600</v>
      </c>
      <c r="I20" s="113">
        <f t="shared" si="0"/>
        <v>741</v>
      </c>
      <c r="J20" s="113">
        <f t="shared" si="0"/>
        <v>283</v>
      </c>
      <c r="K20" s="113">
        <f t="shared" si="0"/>
        <v>462</v>
      </c>
      <c r="L20" s="113">
        <f t="shared" si="0"/>
        <v>242</v>
      </c>
      <c r="M20" s="113">
        <f t="shared" si="0"/>
        <v>556</v>
      </c>
      <c r="N20" s="113">
        <f>SUM(N9:N19)</f>
        <v>223</v>
      </c>
      <c r="O20" s="113">
        <f t="shared" si="0"/>
        <v>29775</v>
      </c>
      <c r="P20" s="113">
        <f t="shared" si="0"/>
        <v>29561</v>
      </c>
      <c r="Q20" s="43">
        <f t="shared" si="0"/>
        <v>968</v>
      </c>
      <c r="R20" s="113">
        <f t="shared" si="0"/>
        <v>459</v>
      </c>
    </row>
    <row r="22" spans="1:18" x14ac:dyDescent="0.25">
      <c r="A22" s="66" t="s">
        <v>214</v>
      </c>
    </row>
  </sheetData>
  <mergeCells count="18">
    <mergeCell ref="Q7:R7"/>
    <mergeCell ref="A4:A8"/>
    <mergeCell ref="A1:R1"/>
    <mergeCell ref="A2:R2"/>
    <mergeCell ref="I6:N6"/>
    <mergeCell ref="C7:D7"/>
    <mergeCell ref="E7:F7"/>
    <mergeCell ref="G7:H7"/>
    <mergeCell ref="I7:J7"/>
    <mergeCell ref="K7:L7"/>
    <mergeCell ref="M7:N7"/>
    <mergeCell ref="B4:B8"/>
    <mergeCell ref="C4:N4"/>
    <mergeCell ref="O4:R6"/>
    <mergeCell ref="C5:H5"/>
    <mergeCell ref="I5:N5"/>
    <mergeCell ref="C6:H6"/>
    <mergeCell ref="O7:P7"/>
  </mergeCells>
  <pageMargins left="0.26" right="0.1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Table 1(I)</vt:lpstr>
      <vt:lpstr>Table 1 (II)</vt:lpstr>
      <vt:lpstr>Table 2</vt:lpstr>
      <vt:lpstr>Table 3</vt:lpstr>
      <vt:lpstr>Table 4</vt:lpstr>
      <vt:lpstr>Table 5</vt:lpstr>
      <vt:lpstr>Table 6</vt:lpstr>
      <vt:lpstr>Table 7</vt:lpstr>
      <vt:lpstr>Table 8</vt:lpstr>
      <vt:lpstr>Table 10</vt:lpstr>
      <vt:lpstr>Table 11</vt:lpstr>
      <vt:lpstr>Table 12 (I)</vt:lpstr>
      <vt:lpstr>Table 12 (II)</vt:lpstr>
      <vt:lpstr>Table 13 (I)</vt:lpstr>
      <vt:lpstr>Table 13 (II)</vt:lpstr>
      <vt:lpstr>Table 14 (I)</vt:lpstr>
      <vt:lpstr>Table 14 (II)</vt:lpstr>
      <vt:lpstr>Table 15 (I)</vt:lpstr>
      <vt:lpstr>Table 15(II)</vt:lpstr>
      <vt:lpstr>Table 16(I)</vt:lpstr>
      <vt:lpstr>Table 16(II)</vt:lpstr>
      <vt:lpstr>Table 17</vt:lpstr>
      <vt:lpstr>Table 18</vt:lpstr>
      <vt:lpstr>Table 19</vt:lpstr>
      <vt:lpstr>Table 20 Rural</vt:lpstr>
      <vt:lpstr>Table 20 URBAN</vt:lpstr>
      <vt:lpstr>Table 20 Combined</vt:lpstr>
      <vt:lpstr>'Table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2025-03-25T07:41:05Z</dcterms:modified>
</cp:coreProperties>
</file>