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 firstSheet="6" activeTab="7"/>
  </bookViews>
  <sheets>
    <sheet name="Power 1" sheetId="1" r:id="rId1"/>
    <sheet name="Power 2" sheetId="2" r:id="rId2"/>
    <sheet name="Power Electrocution 1" sheetId="3" r:id="rId3"/>
    <sheet name="Power Electrocution 2" sheetId="4" r:id="rId4"/>
    <sheet name="SDRF2022-23" sheetId="5" r:id="rId5"/>
    <sheet name="SDRF2023-24" sheetId="6" r:id="rId6"/>
    <sheet name="Agri" sheetId="7" r:id="rId7"/>
    <sheet name="Agri (2)" sheetId="16" r:id="rId8"/>
    <sheet name="Horti2022-23" sheetId="8" r:id="rId9"/>
    <sheet name="Horti2023-24" sheetId="9" r:id="rId10"/>
    <sheet name="LandResource" sheetId="10" r:id="rId11"/>
    <sheet name="F&amp;ES2022-23" sheetId="13" r:id="rId12"/>
    <sheet name="F&amp;ES23-24" sheetId="14" r:id="rId13"/>
    <sheet name="PHQ" sheetId="11" r:id="rId14"/>
    <sheet name="PHQ2" sheetId="12" r:id="rId15"/>
    <sheet name="Sheet1" sheetId="15" r:id="rId16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2"/>
  <c r="G27"/>
  <c r="F27"/>
  <c r="C27"/>
  <c r="H24" i="11"/>
  <c r="G24"/>
  <c r="F24"/>
  <c r="C24"/>
  <c r="E31" i="14"/>
  <c r="C31"/>
  <c r="C31" i="13"/>
  <c r="F21" i="9"/>
  <c r="C21"/>
  <c r="G20" i="8"/>
  <c r="F20"/>
  <c r="C20"/>
  <c r="H60" i="6"/>
  <c r="G60"/>
  <c r="F60"/>
  <c r="C60"/>
  <c r="H64" i="5"/>
  <c r="G64"/>
  <c r="F64"/>
  <c r="C64"/>
  <c r="I62"/>
  <c r="G23" i="4"/>
  <c r="F23"/>
  <c r="G22" i="3"/>
  <c r="F22"/>
</calcChain>
</file>

<file path=xl/sharedStrings.xml><?xml version="1.0" encoding="utf-8"?>
<sst xmlns="http://schemas.openxmlformats.org/spreadsheetml/2006/main" count="1413" uniqueCount="224">
  <si>
    <t>Table 3.1(A):  Electricity Supply Damaged by Accident Related Disaster in Nagaland from 2022-23 under Electrical Division</t>
  </si>
  <si>
    <t>Sl. No.</t>
  </si>
  <si>
    <t>District</t>
  </si>
  <si>
    <t>High Tension Lines</t>
  </si>
  <si>
    <t>Type/Cause of Disaster*</t>
  </si>
  <si>
    <t>No. of Incident Reported</t>
  </si>
  <si>
    <t>11kv/33kv/66kv and above</t>
  </si>
  <si>
    <t>Kohima</t>
  </si>
  <si>
    <t>Nil</t>
  </si>
  <si>
    <t>Dimapur</t>
  </si>
  <si>
    <t>Chumoukedima</t>
  </si>
  <si>
    <t>Kiphire</t>
  </si>
  <si>
    <t>Tuensang</t>
  </si>
  <si>
    <t>Wokha</t>
  </si>
  <si>
    <t>11 kV- 2 nos.</t>
  </si>
  <si>
    <t>Forest Fire</t>
  </si>
  <si>
    <t>Tseminyu</t>
  </si>
  <si>
    <t>Noklak</t>
  </si>
  <si>
    <t>Shamator</t>
  </si>
  <si>
    <t>Mokokchung</t>
  </si>
  <si>
    <t>Mokokchung (Changtongya Elect. Division</t>
  </si>
  <si>
    <t>Longleng</t>
  </si>
  <si>
    <t>11 kV HT lines</t>
  </si>
  <si>
    <t>Zunheboto</t>
  </si>
  <si>
    <t>Mon</t>
  </si>
  <si>
    <t>11 kV</t>
  </si>
  <si>
    <t>Pole damaged by truck accident</t>
  </si>
  <si>
    <t>Phek</t>
  </si>
  <si>
    <t>Peren</t>
  </si>
  <si>
    <t>Total</t>
  </si>
  <si>
    <t>Source: The Engineer-in-Chief, Power Department, Nagaland</t>
  </si>
  <si>
    <t>Table 3.1(B): Electricity Supply Damaged by Accident Related Disaster in Nagaland from 2023-24 under Electrical Division</t>
  </si>
  <si>
    <t>11kV- 2 nos.</t>
  </si>
  <si>
    <t>Electrical Disaster &amp; Fires</t>
  </si>
  <si>
    <t>LT Pole, Conductor &amp; Accessories</t>
  </si>
  <si>
    <t>Fire</t>
  </si>
  <si>
    <t>11 kV- 1 nos.</t>
  </si>
  <si>
    <t>Mokokchung (Changtongya Elect. Division)</t>
  </si>
  <si>
    <t>33 kV</t>
  </si>
  <si>
    <t>Pole damage due to truck accident</t>
  </si>
  <si>
    <t>Overhead weasel conductor snapped by vehicle</t>
  </si>
  <si>
    <t>Table 3.2(A): Disaster due to Electrocution in Nagaland from 2022-23 under Electrical Division</t>
  </si>
  <si>
    <t xml:space="preserve">Particular/Incident (Specify) </t>
  </si>
  <si>
    <t>No. of Persons Injured</t>
  </si>
  <si>
    <t>No. of Deaths</t>
  </si>
  <si>
    <t>Electrocuted</t>
  </si>
  <si>
    <t>Contact with HT live wire</t>
  </si>
  <si>
    <t>Shock and falling to the ground while working on top of HT pole</t>
  </si>
  <si>
    <t>Two mithuns electrocuted due to snapping of line</t>
  </si>
  <si>
    <t>Heavy windstorm and rainstorm</t>
  </si>
  <si>
    <t>At Lonsachung 63 kV s/s</t>
  </si>
  <si>
    <t>Electrocuted due to direct contact with 11 kV line</t>
  </si>
  <si>
    <t>At Tesophenyu 1.6 MV s/s</t>
  </si>
  <si>
    <t>Due to flushing in 11 kV DO fuse</t>
  </si>
  <si>
    <t>Zumpha 11 kV line feeder line</t>
  </si>
  <si>
    <t>Induction &amp; leakage current</t>
  </si>
  <si>
    <t>Faulty circuit breaker</t>
  </si>
  <si>
    <t>Maintenance of s/s</t>
  </si>
  <si>
    <t>Leakage from composite line</t>
  </si>
  <si>
    <t xml:space="preserve">Source: The Engineer-in-Chief, Power Department, Nagaland </t>
  </si>
  <si>
    <t>Table 3.2(B): Disaster due to Electrocution in Nagaland from 2023-24 under Electrical Division.</t>
  </si>
  <si>
    <t>Burnt</t>
  </si>
  <si>
    <t>Suffered burn injuries when came in contact with live parts while carrying out maintenance</t>
  </si>
  <si>
    <t>Injured</t>
  </si>
  <si>
    <t>At Yikhum 1.6 MVA s/s</t>
  </si>
  <si>
    <t>Electrocuted due to direct contact with 11/33 kV line</t>
  </si>
  <si>
    <t>At Chulitong cutpoint</t>
  </si>
  <si>
    <t>Rumesinyu 25 kVA s/s</t>
  </si>
  <si>
    <t>Induction &amp; current leakage</t>
  </si>
  <si>
    <t>33 kV line new connection</t>
  </si>
  <si>
    <t>Current leakage from Industry</t>
  </si>
  <si>
    <t>Contact with live 11 kV conductor at night while traveling in pickup truck</t>
  </si>
  <si>
    <t>Snapping of 11 kV conductor due to heavy storm</t>
  </si>
  <si>
    <t>Falling from pole due to electrocution</t>
  </si>
  <si>
    <t>Table 3.3(A): Accident Related Disaster by SDRF in Nagaland 2022-23</t>
  </si>
  <si>
    <t>Particular/Incident (Specify)</t>
  </si>
  <si>
    <t>No. of Person Rescued</t>
  </si>
  <si>
    <t>No. of Person Affected or Injured in the Incident</t>
  </si>
  <si>
    <t>1. Side wall collapse near Raj Bhavan on February, 2023.</t>
  </si>
  <si>
    <t>Structure Collapse</t>
  </si>
  <si>
    <t>2. Mao Market fire incident, 27th February, 2023.</t>
  </si>
  <si>
    <t>Urban Fire</t>
  </si>
  <si>
    <t>1. Death due to drowning on 25th June, 2022.</t>
  </si>
  <si>
    <t>Drowning</t>
  </si>
  <si>
    <t>2. Death due to drowning on 6th September, 2022.</t>
  </si>
  <si>
    <t>1. Retrived 4 minor children drowned at Dhansari River near Urban Hath, Dimapur on 24th April, 2022.</t>
  </si>
  <si>
    <t>2.Retrived a dead body of non-local drowned at Dhansari River near Murese Village on 16th June, 2022.</t>
  </si>
  <si>
    <t>3. Retrived body of a 13 year old boy drowned at Dhansari River near Greenwood Higher Secondary School, Kuda Village, Dimapur on 14th August, 2022.</t>
  </si>
  <si>
    <t>4. Retrived one dead body from bore well at Chekiye Village, 4 lane, Dimapur on 26th November, 2022.</t>
  </si>
  <si>
    <t>5. The SDRF Dimapur responded to control and put out the wild fire that occurred at Pherima on 14th March, 2023.</t>
  </si>
  <si>
    <t>Wild Fire</t>
  </si>
  <si>
    <t xml:space="preserve">Nil </t>
  </si>
  <si>
    <t>6. Retrieved a drowned body at Chathe River, Dimapur (Chumoukedima) on 6th July, 2022.</t>
  </si>
  <si>
    <t>7. Retrieved  decomposed dead body of a male at Chathe River, Dimapur (Chumoukedima) on 6th July, 2022.</t>
  </si>
  <si>
    <t>8.  Retrieved a drowned body at Dhansari River, Deizephe Village, Dimapur (Chumoukedima) on 8th July, 2022.</t>
  </si>
  <si>
    <t>9. Search an Recovery Operation was carried out for 3 days where a vehicle met with an accident near Kuki Dolong, Chathe River, Dimapur (Chumoukedima) and missing driver could not be traced on 5th August, 2022.</t>
  </si>
  <si>
    <t>Road Accident</t>
  </si>
  <si>
    <t>10. Retrieved a drowned body at Chathe River, Dimapur (Chumoukedima) on 5th August, 2022.</t>
  </si>
  <si>
    <t>11. Rescued an accident victim at Chathe River, Dimapur (Chumoukedima) on 6th August, 2022.</t>
  </si>
  <si>
    <t>12. Retrieved a drowned body at Chathe River, Henivi Village, Dimapur (Chumoukedima) on 9th August, 2022.</t>
  </si>
  <si>
    <t>1. Fire breakout at Mt. Tiyi on 27th March, 2022.</t>
  </si>
  <si>
    <t>Village (Jhum field) fire</t>
  </si>
  <si>
    <t>2. Drowning case at Doyang River on 2nd November, 2022.</t>
  </si>
  <si>
    <t>3. Election bound BSF bus incident at Tsungiki Village on 5th January,2023.</t>
  </si>
  <si>
    <t>Road accident</t>
  </si>
  <si>
    <t>Source: SDRF/ Home Guards &amp; Civil Defence, Nagaland</t>
  </si>
  <si>
    <t>Table3.3(B) : Accident Related Disaster by SDRF in Nagaland from 2023-24.</t>
  </si>
  <si>
    <t>1. Ring well incident at High Court, Merima, Kohima on 2nd August, 2023.</t>
  </si>
  <si>
    <t>2. High School, Kohima, Peraciezie Market Fire incident on 9th September, 2023.</t>
  </si>
  <si>
    <t>3. Ring well incident near Mezhur Higher Secondary School, Kohima on January, 2024.</t>
  </si>
  <si>
    <t>4. Fire incident at Kitsubozou Area near Chakhesang Baptist Church, Kohima on 18th March, 2024.</t>
  </si>
  <si>
    <t>5. Old NST, Kohima Drainage incident on 22nd April, 2024.</t>
  </si>
  <si>
    <t>Trapped in drainage waterway (accident)</t>
  </si>
  <si>
    <t>1. Disposing of Forest Fire between Porba Village and Mesulumi Village on 3rd and 4th February, 2024.</t>
  </si>
  <si>
    <t>1. Drowning in Phili (Atoizu Sub-Division) on 5th February, 2024.</t>
  </si>
  <si>
    <t>1. Massive outbreak of fire at MMC Shopping Complex, Dilong Ward on 3rd February, 2024.</t>
  </si>
  <si>
    <t>2. Outbreak of fire at private residence on 27th March, 2024.</t>
  </si>
  <si>
    <t>LPG burst</t>
  </si>
  <si>
    <t>3. Vehicle accident on 3rd August, 2023</t>
  </si>
  <si>
    <t>1. Death due to drowning on 23rd July, 2023.</t>
  </si>
  <si>
    <t>1. Retrieved one dead body of non-local Mr.Nihar Das, near Sub-Urban Police Station on 15th May, 2023.</t>
  </si>
  <si>
    <t>2. Rescue operation carried out at Dhansari River where a victim Mr. Amit Jain in his mid 40's was reported to have drowned on 24th June, 2023.</t>
  </si>
  <si>
    <t>Case of attempted suicide. The body could not be traced.</t>
  </si>
  <si>
    <t>3. Retrived dead body of Mr. Akangkokba in his late 40's from a bore well at Lengrijan Village, Dimapur on 7th July, 2023.</t>
  </si>
  <si>
    <t>4. Retrieved dead body of Mr. Petevito aged 17 years, who drowned at Dhansari River, Tolouzama Village on 9th July, 2023.</t>
  </si>
  <si>
    <t>5. Retrieved dead body of Nilobo Yeptho aged 11 years, who drowned at Dhansari River, Thilixu Block on 27th September, 2023.</t>
  </si>
  <si>
    <t>6. Retrieved male dead body (non-local) from Dhansari River near ISBT on 11th March, 2024.</t>
  </si>
  <si>
    <t>7. Retrieved one dead body from Dhansari River at Tolouzama Village, Chumoukedima on 10th July, 2023.</t>
  </si>
  <si>
    <t>8.Retrieved 2 dead bodies from bore well at Rai Bosti, Medziphema, Chumoukedima on 4th April, 2024.</t>
  </si>
  <si>
    <t>1. One person drowned below Doyang Dam Reservoir on 18th August, 2023.</t>
  </si>
  <si>
    <t>2. Passenger Sumo collided with truck at Kandinyu on 20th September, 2023.</t>
  </si>
  <si>
    <t>3. One person drowned at Doyang River on 24th November, 2023.</t>
  </si>
  <si>
    <t>4. Massive fire broke out at Santsuphen Village on 18th March, 2024.</t>
  </si>
  <si>
    <t>5. Private car incident at Yikhum Village on 22nd March, 2024.</t>
  </si>
  <si>
    <t>Area Affected (specify) in Ha.</t>
  </si>
  <si>
    <t xml:space="preserve">No. of Produce (Crop) Affected or Damaged </t>
  </si>
  <si>
    <t>Niuland</t>
  </si>
  <si>
    <t>Damage of Agricultural crops</t>
  </si>
  <si>
    <t>Wild fire</t>
  </si>
  <si>
    <t>54.4 Qtl</t>
  </si>
  <si>
    <t>Source: Directorate of Agriculture, Nagaland</t>
  </si>
  <si>
    <t xml:space="preserve">Table 3.5(A):  Horticulture Crops damaged due to Accident Disaster  in Nagaland for the year 2022-23 </t>
  </si>
  <si>
    <t>Area Affected (specify) in Acre.</t>
  </si>
  <si>
    <t>Vegetables</t>
  </si>
  <si>
    <t>Forest fire</t>
  </si>
  <si>
    <t>Citrus</t>
  </si>
  <si>
    <t>Source: Directorate of Horticulture, Nagaland.</t>
  </si>
  <si>
    <t>Table 3.5(B):  Agriculture Crops damaged due to Accident Disaster  in Nagaland for the year 2023-24</t>
  </si>
  <si>
    <t>Area Affected (specify) in Acre</t>
  </si>
  <si>
    <t>Mango &amp; Litchi</t>
  </si>
  <si>
    <t>Large Cardamom</t>
  </si>
  <si>
    <t>Source: Directorate of Horticulture, Nagaland</t>
  </si>
  <si>
    <r>
      <rPr>
        <b/>
        <sz val="11"/>
        <color theme="1"/>
        <rFont val="Calibri"/>
        <charset val="134"/>
        <scheme val="minor"/>
      </rPr>
      <t>*Accident Related Disaster</t>
    </r>
    <r>
      <rPr>
        <sz val="11"/>
        <color theme="1"/>
        <rFont val="Calibri"/>
        <charset val="134"/>
        <scheme val="minor"/>
      </rPr>
      <t xml:space="preserve">- Forest Fire/Urban Fire/ Village Fire/Mine Flooding/Oil Spills/ Major Building Collapse/Serial Bomb Blasts/Festival related disaster/Electrical Disaster &amp; Fires/ Air,Road &amp; Rail Accidents/ Boat Capsizing    </t>
    </r>
  </si>
  <si>
    <t>Table 3.6: Plantation crops demaged due to accident disaster in Nagaland for the year 2023-24</t>
  </si>
  <si>
    <t>Burnt coffee plantation</t>
  </si>
  <si>
    <t>Manmade fire</t>
  </si>
  <si>
    <t>Forest fire/ jungle burning</t>
  </si>
  <si>
    <t>Jungle fire</t>
  </si>
  <si>
    <t>Damaged Arecanut plantation</t>
  </si>
  <si>
    <t>Wild elephant</t>
  </si>
  <si>
    <t>Damaged Rubber plantation</t>
  </si>
  <si>
    <t>Source: Directorate of Land Resources, Nagaland</t>
  </si>
  <si>
    <t>Table 3.7(A): Assets &amp; Buildings Damaged by Fire Accident in Nagaland for the year 2022-23</t>
  </si>
  <si>
    <t>9 Electrical fire</t>
  </si>
  <si>
    <t>2 LPG</t>
  </si>
  <si>
    <t>1 Transformer</t>
  </si>
  <si>
    <t>3 Fire</t>
  </si>
  <si>
    <t>6 Forest fire</t>
  </si>
  <si>
    <t>11 Electrical fire</t>
  </si>
  <si>
    <t>8 LPG fire</t>
  </si>
  <si>
    <t>15 Electrical fire</t>
  </si>
  <si>
    <t>7 LPG</t>
  </si>
  <si>
    <t>24 Forest fire</t>
  </si>
  <si>
    <t>2 Electrical fire</t>
  </si>
  <si>
    <t>8 Elecrical fire</t>
  </si>
  <si>
    <t>1 Forest fire</t>
  </si>
  <si>
    <t>3 Electrical fire</t>
  </si>
  <si>
    <t>1 LPG fire</t>
  </si>
  <si>
    <t>1 Elecrical fire</t>
  </si>
  <si>
    <t>1 Electrical fire</t>
  </si>
  <si>
    <t>3 Forest fire</t>
  </si>
  <si>
    <t>Source: Directorate of Fire &amp; Emergency Services, Nagaland</t>
  </si>
  <si>
    <t>Table 3.7(B): Assets &amp; Buildings Damaged by Fire Accident in Nagaland for the year 2023-24</t>
  </si>
  <si>
    <t>8 Electrical fire</t>
  </si>
  <si>
    <t>8 Unknown</t>
  </si>
  <si>
    <t>2 Forest fire</t>
  </si>
  <si>
    <t>12 Electrical fire</t>
  </si>
  <si>
    <t>6 LPG fire</t>
  </si>
  <si>
    <t>9 Unknown Cause</t>
  </si>
  <si>
    <t>1 Electrical Fire</t>
  </si>
  <si>
    <t>2 Forest Fire</t>
  </si>
  <si>
    <t>22 Electrical fire</t>
  </si>
  <si>
    <t>21 Forest Fire</t>
  </si>
  <si>
    <t>1 Special rescue</t>
  </si>
  <si>
    <t>6 Electrical fire</t>
  </si>
  <si>
    <t>2 LPG fire</t>
  </si>
  <si>
    <t xml:space="preserve">Table 3.8(A): Roads Accidents in Nagaland from 2022-23 </t>
  </si>
  <si>
    <t>No. of  Deaths</t>
  </si>
  <si>
    <t>Accident Severity**</t>
  </si>
  <si>
    <t xml:space="preserve">Self accident  </t>
  </si>
  <si>
    <t>Overspeeding</t>
  </si>
  <si>
    <t>Vehicle-Vehicle collision</t>
  </si>
  <si>
    <t>Rash Driving</t>
  </si>
  <si>
    <t>Hit and Run</t>
  </si>
  <si>
    <t>Negligent and Rash Driving</t>
  </si>
  <si>
    <t>Road Accidents</t>
  </si>
  <si>
    <t>Rash and Negligent</t>
  </si>
  <si>
    <t>Mechanical Failure</t>
  </si>
  <si>
    <t>Bad Weather conditions</t>
  </si>
  <si>
    <t>Poor Road Infrastructure</t>
  </si>
  <si>
    <t>Source: DGP, PHQ, Nagaland, Kohima</t>
  </si>
  <si>
    <t>**Accident Severity: Number of persons killed per 100 accidents.</t>
  </si>
  <si>
    <t xml:space="preserve">Table 3.8(B) : Roads Accidents in Nagaland from 2023-2024 </t>
  </si>
  <si>
    <t xml:space="preserve">Self accident </t>
  </si>
  <si>
    <t>Vehicle- Vehicle collision</t>
  </si>
  <si>
    <t>Drunk Driving</t>
  </si>
  <si>
    <t xml:space="preserve"> Self accident</t>
  </si>
  <si>
    <t>Vehicles-Vehicle collisio</t>
  </si>
  <si>
    <t>Vehicle-Vehicle Collision</t>
  </si>
  <si>
    <t>Negligent  and Rash Driving</t>
  </si>
  <si>
    <t>Poor Infrastructure</t>
  </si>
  <si>
    <t xml:space="preserve">*Accident Related Disaster- Forest Fire/Urban Fire/ Village Fire/Mine Flooding/Oil Spills/ Major Building Collopse/Serial Bomb Blasts/Festival related disaster/Electrical Disaster &amp; Fires/ Air,Road &amp; Rail Accidents/ Boat Capsizing    </t>
  </si>
  <si>
    <t>Table 3.4(A):  Agriculture Crops damaged due to Accident Disaster  in Nagaland from 2022-23</t>
  </si>
  <si>
    <t>Table 3.4(B):  Agriculture Crops damaged due to Accident Disaster  in Nagaland from 2023-24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</si>
</sst>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2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5" tint="-0.249977111117893"/>
      <name val="Times New Roman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/>
    <xf numFmtId="2" fontId="9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0" fillId="0" borderId="11" xfId="0" applyFont="1" applyBorder="1"/>
    <xf numFmtId="0" fontId="7" fillId="0" borderId="2" xfId="0" applyFont="1" applyBorder="1"/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0" fontId="11" fillId="0" borderId="11" xfId="0" applyFont="1" applyBorder="1"/>
    <xf numFmtId="0" fontId="0" fillId="0" borderId="0" xfId="0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9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Border="1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justify" vertical="top" wrapText="1"/>
    </xf>
    <xf numFmtId="0" fontId="4" fillId="0" borderId="0" xfId="0" applyFont="1" applyBorder="1"/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justify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0" borderId="6" xfId="0" applyFont="1" applyBorder="1"/>
    <xf numFmtId="0" fontId="11" fillId="0" borderId="0" xfId="0" applyFont="1" applyBorder="1"/>
    <xf numFmtId="0" fontId="1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8" fillId="0" borderId="0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opLeftCell="A19" workbookViewId="0">
      <selection activeCell="H9" sqref="H9"/>
    </sheetView>
  </sheetViews>
  <sheetFormatPr defaultColWidth="9.140625" defaultRowHeight="15"/>
  <cols>
    <col min="1" max="1" width="5.7109375" style="25" customWidth="1"/>
    <col min="2" max="2" width="18.28515625" style="25" customWidth="1"/>
    <col min="3" max="3" width="15.42578125" style="25" customWidth="1"/>
    <col min="4" max="4" width="23.85546875" style="25" customWidth="1"/>
    <col min="5" max="5" width="28.5703125" style="25" customWidth="1"/>
    <col min="6" max="16384" width="9.140625" style="25"/>
  </cols>
  <sheetData>
    <row r="1" spans="1:8" ht="30.75" customHeight="1">
      <c r="A1" s="59" t="s">
        <v>0</v>
      </c>
      <c r="B1" s="60"/>
      <c r="C1" s="60"/>
      <c r="D1" s="60"/>
      <c r="E1" s="60"/>
      <c r="F1" s="60"/>
      <c r="G1" s="60"/>
      <c r="H1" s="60"/>
    </row>
    <row r="2" spans="1:8" ht="28.5" customHeight="1">
      <c r="A2" s="67" t="s">
        <v>1</v>
      </c>
      <c r="B2" s="72" t="s">
        <v>2</v>
      </c>
      <c r="C2" s="61" t="s">
        <v>3</v>
      </c>
      <c r="D2" s="62"/>
      <c r="E2" s="79" t="s">
        <v>4</v>
      </c>
    </row>
    <row r="3" spans="1:8" ht="48.75" customHeight="1">
      <c r="A3" s="68"/>
      <c r="B3" s="72"/>
      <c r="C3" s="48" t="s">
        <v>5</v>
      </c>
      <c r="D3" s="49" t="s">
        <v>6</v>
      </c>
      <c r="E3" s="79"/>
    </row>
    <row r="4" spans="1:8" ht="15.75">
      <c r="A4" s="2">
        <v>1</v>
      </c>
      <c r="B4" s="18" t="s">
        <v>7</v>
      </c>
      <c r="C4" s="8" t="s">
        <v>8</v>
      </c>
      <c r="D4" s="8" t="s">
        <v>8</v>
      </c>
      <c r="E4" s="8" t="s">
        <v>8</v>
      </c>
    </row>
    <row r="5" spans="1:8" ht="15.75">
      <c r="A5" s="2">
        <v>2</v>
      </c>
      <c r="B5" s="18" t="s">
        <v>9</v>
      </c>
      <c r="C5" s="8" t="s">
        <v>8</v>
      </c>
      <c r="D5" s="8" t="s">
        <v>8</v>
      </c>
      <c r="E5" s="8" t="s">
        <v>8</v>
      </c>
    </row>
    <row r="6" spans="1:8" ht="15.75">
      <c r="A6" s="2">
        <v>3</v>
      </c>
      <c r="B6" s="18" t="s">
        <v>10</v>
      </c>
      <c r="C6" s="8" t="s">
        <v>8</v>
      </c>
      <c r="D6" s="8" t="s">
        <v>8</v>
      </c>
      <c r="E6" s="8" t="s">
        <v>8</v>
      </c>
    </row>
    <row r="7" spans="1:8" ht="15.75">
      <c r="A7" s="1">
        <v>4</v>
      </c>
      <c r="B7" s="15" t="s">
        <v>11</v>
      </c>
      <c r="C7" s="8" t="s">
        <v>8</v>
      </c>
      <c r="D7" s="8" t="s">
        <v>8</v>
      </c>
      <c r="E7" s="8" t="s">
        <v>8</v>
      </c>
    </row>
    <row r="8" spans="1:8" ht="15.75">
      <c r="A8" s="2">
        <v>5</v>
      </c>
      <c r="B8" s="18" t="s">
        <v>12</v>
      </c>
      <c r="C8" s="8" t="s">
        <v>8</v>
      </c>
      <c r="D8" s="8" t="s">
        <v>8</v>
      </c>
      <c r="E8" s="8" t="s">
        <v>8</v>
      </c>
    </row>
    <row r="9" spans="1:8" ht="14.45" customHeight="1">
      <c r="A9" s="2">
        <v>6</v>
      </c>
      <c r="B9" s="18" t="s">
        <v>13</v>
      </c>
      <c r="C9" s="19">
        <v>2</v>
      </c>
      <c r="D9" s="8" t="s">
        <v>14</v>
      </c>
      <c r="E9" s="19" t="s">
        <v>15</v>
      </c>
    </row>
    <row r="10" spans="1:8" ht="15.75">
      <c r="A10" s="2">
        <v>7</v>
      </c>
      <c r="B10" s="18" t="s">
        <v>16</v>
      </c>
      <c r="C10" s="8" t="s">
        <v>8</v>
      </c>
      <c r="D10" s="8" t="s">
        <v>8</v>
      </c>
      <c r="E10" s="8" t="s">
        <v>8</v>
      </c>
    </row>
    <row r="11" spans="1:8" ht="15.75">
      <c r="A11" s="2">
        <v>8</v>
      </c>
      <c r="B11" s="18" t="s">
        <v>17</v>
      </c>
      <c r="C11" s="8" t="s">
        <v>8</v>
      </c>
      <c r="D11" s="8" t="s">
        <v>8</v>
      </c>
      <c r="E11" s="8" t="s">
        <v>8</v>
      </c>
    </row>
    <row r="12" spans="1:8" ht="15.75">
      <c r="A12" s="2">
        <v>9</v>
      </c>
      <c r="B12" s="18" t="s">
        <v>18</v>
      </c>
      <c r="C12" s="8" t="s">
        <v>8</v>
      </c>
      <c r="D12" s="8" t="s">
        <v>8</v>
      </c>
      <c r="E12" s="8" t="s">
        <v>8</v>
      </c>
    </row>
    <row r="13" spans="1:8" ht="15.75">
      <c r="A13" s="2">
        <v>10</v>
      </c>
      <c r="B13" s="18" t="s">
        <v>19</v>
      </c>
      <c r="C13" s="8" t="s">
        <v>8</v>
      </c>
      <c r="D13" s="8" t="s">
        <v>8</v>
      </c>
      <c r="E13" s="8" t="s">
        <v>8</v>
      </c>
    </row>
    <row r="14" spans="1:8" ht="14.45" customHeight="1">
      <c r="A14" s="69">
        <v>11</v>
      </c>
      <c r="B14" s="73" t="s">
        <v>20</v>
      </c>
      <c r="C14" s="76" t="s">
        <v>8</v>
      </c>
      <c r="D14" s="76" t="s">
        <v>8</v>
      </c>
      <c r="E14" s="76" t="s">
        <v>8</v>
      </c>
    </row>
    <row r="15" spans="1:8" ht="14.45" customHeight="1">
      <c r="A15" s="70"/>
      <c r="B15" s="74"/>
      <c r="C15" s="77"/>
      <c r="D15" s="77"/>
      <c r="E15" s="77"/>
    </row>
    <row r="16" spans="1:8" ht="14.45" customHeight="1">
      <c r="A16" s="70"/>
      <c r="B16" s="74"/>
      <c r="C16" s="77"/>
      <c r="D16" s="77"/>
      <c r="E16" s="77"/>
    </row>
    <row r="17" spans="1:5" ht="14.45" customHeight="1">
      <c r="A17" s="70"/>
      <c r="B17" s="74"/>
      <c r="C17" s="77"/>
      <c r="D17" s="77"/>
      <c r="E17" s="77"/>
    </row>
    <row r="18" spans="1:5" ht="14.45" customHeight="1">
      <c r="A18" s="71"/>
      <c r="B18" s="75"/>
      <c r="C18" s="78"/>
      <c r="D18" s="78"/>
      <c r="E18" s="78"/>
    </row>
    <row r="19" spans="1:5" ht="15" customHeight="1">
      <c r="A19" s="2">
        <v>12</v>
      </c>
      <c r="B19" s="18" t="s">
        <v>21</v>
      </c>
      <c r="C19" s="9">
        <v>1</v>
      </c>
      <c r="D19" s="9" t="s">
        <v>22</v>
      </c>
      <c r="E19" s="9" t="s">
        <v>15</v>
      </c>
    </row>
    <row r="20" spans="1:5" ht="15" customHeight="1">
      <c r="A20" s="2">
        <v>13</v>
      </c>
      <c r="B20" s="18" t="s">
        <v>23</v>
      </c>
      <c r="C20" s="9" t="s">
        <v>8</v>
      </c>
      <c r="D20" s="9" t="s">
        <v>8</v>
      </c>
      <c r="E20" s="9" t="s">
        <v>8</v>
      </c>
    </row>
    <row r="21" spans="1:5" ht="15" customHeight="1">
      <c r="A21" s="2">
        <v>14</v>
      </c>
      <c r="B21" s="18" t="s">
        <v>24</v>
      </c>
      <c r="C21" s="9">
        <v>1</v>
      </c>
      <c r="D21" s="9" t="s">
        <v>25</v>
      </c>
      <c r="E21" s="9" t="s">
        <v>26</v>
      </c>
    </row>
    <row r="22" spans="1:5" ht="15" customHeight="1">
      <c r="A22" s="2">
        <v>15</v>
      </c>
      <c r="B22" s="18" t="s">
        <v>27</v>
      </c>
      <c r="C22" s="9" t="s">
        <v>8</v>
      </c>
      <c r="D22" s="9" t="s">
        <v>8</v>
      </c>
      <c r="E22" s="9" t="s">
        <v>8</v>
      </c>
    </row>
    <row r="23" spans="1:5" ht="15" customHeight="1">
      <c r="A23" s="2">
        <v>16</v>
      </c>
      <c r="B23" s="18" t="s">
        <v>28</v>
      </c>
      <c r="C23" s="9" t="s">
        <v>8</v>
      </c>
      <c r="D23" s="9" t="s">
        <v>8</v>
      </c>
      <c r="E23" s="9" t="s">
        <v>8</v>
      </c>
    </row>
    <row r="24" spans="1:5" ht="14.45" customHeight="1">
      <c r="A24" s="63" t="s">
        <v>29</v>
      </c>
      <c r="B24" s="64"/>
      <c r="C24" s="33">
        <v>4</v>
      </c>
      <c r="D24" s="65"/>
      <c r="E24" s="66"/>
    </row>
    <row r="25" spans="1:5" ht="15.75">
      <c r="A25" s="27" t="s">
        <v>30</v>
      </c>
    </row>
  </sheetData>
  <mergeCells count="12">
    <mergeCell ref="A1:H1"/>
    <mergeCell ref="C2:D2"/>
    <mergeCell ref="A24:B24"/>
    <mergeCell ref="D24:E24"/>
    <mergeCell ref="A2:A3"/>
    <mergeCell ref="A14:A18"/>
    <mergeCell ref="B2:B3"/>
    <mergeCell ref="B14:B18"/>
    <mergeCell ref="C14:C18"/>
    <mergeCell ref="D14:D18"/>
    <mergeCell ref="E2:E3"/>
    <mergeCell ref="E14:E18"/>
  </mergeCells>
  <pageMargins left="0.42" right="0.28000000000000003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F21" sqref="F21"/>
    </sheetView>
  </sheetViews>
  <sheetFormatPr defaultColWidth="9.140625" defaultRowHeight="15"/>
  <cols>
    <col min="1" max="1" width="5.7109375" style="25" customWidth="1"/>
    <col min="2" max="2" width="18.28515625" style="25" customWidth="1"/>
    <col min="3" max="3" width="15.85546875" style="25" customWidth="1"/>
    <col min="4" max="4" width="25.140625" style="25" customWidth="1"/>
    <col min="5" max="5" width="33" style="25" customWidth="1"/>
    <col min="6" max="6" width="13.28515625" style="25" customWidth="1"/>
    <col min="7" max="7" width="16.5703125" style="25" customWidth="1"/>
    <col min="8" max="8" width="26.42578125" style="25" customWidth="1"/>
    <col min="9" max="16384" width="9.140625" style="25"/>
  </cols>
  <sheetData>
    <row r="1" spans="1:8" ht="27" customHeight="1">
      <c r="A1" s="81" t="s">
        <v>31</v>
      </c>
      <c r="B1" s="82"/>
      <c r="C1" s="82"/>
      <c r="D1" s="82"/>
      <c r="E1" s="82"/>
      <c r="F1" s="60"/>
      <c r="G1" s="60"/>
      <c r="H1" s="60"/>
    </row>
    <row r="2" spans="1:8" ht="18.75" customHeight="1">
      <c r="A2" s="67" t="s">
        <v>1</v>
      </c>
      <c r="B2" s="72" t="s">
        <v>2</v>
      </c>
      <c r="C2" s="83" t="s">
        <v>3</v>
      </c>
      <c r="D2" s="83"/>
      <c r="E2" s="79" t="s">
        <v>4</v>
      </c>
      <c r="F2" s="42"/>
      <c r="G2" s="42"/>
      <c r="H2" s="42"/>
    </row>
    <row r="3" spans="1:8" ht="47.25" customHeight="1">
      <c r="A3" s="68"/>
      <c r="B3" s="72"/>
      <c r="C3" s="43" t="s">
        <v>5</v>
      </c>
      <c r="D3" s="44" t="s">
        <v>6</v>
      </c>
      <c r="E3" s="79"/>
      <c r="F3" s="42"/>
      <c r="G3" s="42"/>
      <c r="H3" s="42"/>
    </row>
    <row r="4" spans="1:8" ht="15.75">
      <c r="A4" s="2">
        <v>1</v>
      </c>
      <c r="B4" s="2" t="s">
        <v>7</v>
      </c>
      <c r="C4" s="8">
        <v>1</v>
      </c>
      <c r="D4" s="8" t="s">
        <v>32</v>
      </c>
      <c r="E4" s="8" t="s">
        <v>33</v>
      </c>
      <c r="F4" s="42"/>
      <c r="G4" s="42"/>
      <c r="H4" s="42"/>
    </row>
    <row r="5" spans="1:8" ht="31.5">
      <c r="A5" s="2">
        <v>2</v>
      </c>
      <c r="B5" s="2" t="s">
        <v>9</v>
      </c>
      <c r="C5" s="26">
        <v>1</v>
      </c>
      <c r="D5" s="38" t="s">
        <v>34</v>
      </c>
      <c r="E5" s="26" t="s">
        <v>35</v>
      </c>
      <c r="F5" s="42"/>
      <c r="G5" s="42"/>
      <c r="H5" s="42"/>
    </row>
    <row r="6" spans="1:8" ht="15.75">
      <c r="A6" s="2">
        <v>3</v>
      </c>
      <c r="B6" s="2" t="s">
        <v>10</v>
      </c>
      <c r="C6" s="8" t="s">
        <v>8</v>
      </c>
      <c r="D6" s="8" t="s">
        <v>8</v>
      </c>
      <c r="E6" s="8" t="s">
        <v>8</v>
      </c>
      <c r="F6" s="42"/>
      <c r="G6" s="42"/>
      <c r="H6" s="42"/>
    </row>
    <row r="7" spans="1:8" ht="15.75">
      <c r="A7" s="1">
        <v>4</v>
      </c>
      <c r="B7" s="1" t="s">
        <v>11</v>
      </c>
      <c r="C7" s="8" t="s">
        <v>8</v>
      </c>
      <c r="D7" s="8" t="s">
        <v>8</v>
      </c>
      <c r="E7" s="8" t="s">
        <v>8</v>
      </c>
      <c r="F7" s="42"/>
      <c r="G7" s="42"/>
      <c r="H7" s="42"/>
    </row>
    <row r="8" spans="1:8" ht="15.75">
      <c r="A8" s="2">
        <v>5</v>
      </c>
      <c r="B8" s="2" t="s">
        <v>12</v>
      </c>
      <c r="C8" s="8" t="s">
        <v>8</v>
      </c>
      <c r="D8" s="8" t="s">
        <v>8</v>
      </c>
      <c r="E8" s="8" t="s">
        <v>8</v>
      </c>
      <c r="F8" s="42"/>
      <c r="G8" s="42"/>
      <c r="H8" s="42"/>
    </row>
    <row r="9" spans="1:8" ht="11.25" customHeight="1">
      <c r="A9" s="69">
        <v>6</v>
      </c>
      <c r="B9" s="69" t="s">
        <v>13</v>
      </c>
      <c r="C9" s="80">
        <v>1</v>
      </c>
      <c r="D9" s="80" t="s">
        <v>36</v>
      </c>
      <c r="E9" s="80" t="s">
        <v>15</v>
      </c>
      <c r="F9" s="42"/>
      <c r="G9" s="42"/>
      <c r="H9" s="42"/>
    </row>
    <row r="10" spans="1:8" ht="12" customHeight="1">
      <c r="A10" s="70"/>
      <c r="B10" s="70"/>
      <c r="C10" s="80"/>
      <c r="D10" s="80"/>
      <c r="E10" s="80"/>
      <c r="F10" s="42"/>
      <c r="G10" s="42"/>
      <c r="H10" s="42"/>
    </row>
    <row r="11" spans="1:8" ht="15.75">
      <c r="A11" s="2">
        <v>7</v>
      </c>
      <c r="B11" s="2" t="s">
        <v>16</v>
      </c>
      <c r="C11" s="8" t="s">
        <v>8</v>
      </c>
      <c r="D11" s="8" t="s">
        <v>8</v>
      </c>
      <c r="E11" s="8" t="s">
        <v>8</v>
      </c>
      <c r="F11" s="42"/>
      <c r="G11" s="42"/>
      <c r="H11" s="42"/>
    </row>
    <row r="12" spans="1:8" ht="15.75">
      <c r="A12" s="2">
        <v>8</v>
      </c>
      <c r="B12" s="2" t="s">
        <v>17</v>
      </c>
      <c r="C12" s="8" t="s">
        <v>8</v>
      </c>
      <c r="D12" s="8" t="s">
        <v>8</v>
      </c>
      <c r="E12" s="8" t="s">
        <v>8</v>
      </c>
      <c r="F12" s="42"/>
      <c r="G12" s="42"/>
      <c r="H12" s="42"/>
    </row>
    <row r="13" spans="1:8" ht="15.75">
      <c r="A13" s="2">
        <v>9</v>
      </c>
      <c r="B13" s="2" t="s">
        <v>18</v>
      </c>
      <c r="C13" s="8" t="s">
        <v>8</v>
      </c>
      <c r="D13" s="8" t="s">
        <v>8</v>
      </c>
      <c r="E13" s="8" t="s">
        <v>8</v>
      </c>
      <c r="F13" s="42"/>
      <c r="G13" s="42"/>
      <c r="H13" s="42"/>
    </row>
    <row r="14" spans="1:8" ht="15.75">
      <c r="A14" s="2">
        <v>10</v>
      </c>
      <c r="B14" s="2" t="s">
        <v>19</v>
      </c>
      <c r="C14" s="8" t="s">
        <v>8</v>
      </c>
      <c r="D14" s="8" t="s">
        <v>8</v>
      </c>
      <c r="E14" s="8" t="s">
        <v>8</v>
      </c>
      <c r="F14" s="42"/>
      <c r="G14" s="42"/>
      <c r="H14" s="42"/>
    </row>
    <row r="15" spans="1:8" ht="12.75" customHeight="1">
      <c r="A15" s="69">
        <v>11</v>
      </c>
      <c r="B15" s="67" t="s">
        <v>37</v>
      </c>
      <c r="C15" s="80" t="s">
        <v>8</v>
      </c>
      <c r="D15" s="80" t="s">
        <v>8</v>
      </c>
      <c r="E15" s="80" t="s">
        <v>8</v>
      </c>
      <c r="F15" s="42"/>
      <c r="G15" s="42"/>
      <c r="H15" s="42"/>
    </row>
    <row r="16" spans="1:8" ht="15" customHeight="1">
      <c r="A16" s="70"/>
      <c r="B16" s="85"/>
      <c r="C16" s="80"/>
      <c r="D16" s="80"/>
      <c r="E16" s="80"/>
      <c r="F16" s="42"/>
      <c r="G16" s="42"/>
      <c r="H16" s="42"/>
    </row>
    <row r="17" spans="1:8" ht="14.25" customHeight="1">
      <c r="A17" s="70"/>
      <c r="B17" s="85"/>
      <c r="C17" s="80"/>
      <c r="D17" s="80"/>
      <c r="E17" s="80"/>
      <c r="F17" s="42"/>
      <c r="G17" s="42"/>
      <c r="H17" s="42"/>
    </row>
    <row r="18" spans="1:8" ht="12.75" customHeight="1">
      <c r="A18" s="70"/>
      <c r="B18" s="85"/>
      <c r="C18" s="80"/>
      <c r="D18" s="80"/>
      <c r="E18" s="80"/>
      <c r="F18" s="42"/>
      <c r="G18" s="42"/>
      <c r="H18" s="42"/>
    </row>
    <row r="19" spans="1:8" ht="13.5" customHeight="1">
      <c r="A19" s="71"/>
      <c r="B19" s="68"/>
      <c r="C19" s="80"/>
      <c r="D19" s="80"/>
      <c r="E19" s="80"/>
      <c r="F19" s="42"/>
      <c r="G19" s="42"/>
      <c r="H19" s="42"/>
    </row>
    <row r="20" spans="1:8" ht="15.75">
      <c r="A20" s="2">
        <v>12</v>
      </c>
      <c r="B20" s="2" t="s">
        <v>21</v>
      </c>
      <c r="C20" s="9" t="s">
        <v>8</v>
      </c>
      <c r="D20" s="9" t="s">
        <v>8</v>
      </c>
      <c r="E20" s="9" t="s">
        <v>8</v>
      </c>
      <c r="F20" s="42"/>
      <c r="G20" s="42"/>
      <c r="H20" s="42"/>
    </row>
    <row r="21" spans="1:8" ht="15.75">
      <c r="A21" s="2">
        <v>13</v>
      </c>
      <c r="B21" s="2" t="s">
        <v>23</v>
      </c>
      <c r="C21" s="9" t="s">
        <v>8</v>
      </c>
      <c r="D21" s="9" t="s">
        <v>8</v>
      </c>
      <c r="E21" s="9" t="s">
        <v>8</v>
      </c>
      <c r="F21" s="42"/>
      <c r="G21" s="42"/>
      <c r="H21" s="42"/>
    </row>
    <row r="22" spans="1:8" ht="15.75">
      <c r="A22" s="2">
        <v>14</v>
      </c>
      <c r="B22" s="2" t="s">
        <v>24</v>
      </c>
      <c r="C22" s="9">
        <v>2</v>
      </c>
      <c r="D22" s="45" t="s">
        <v>38</v>
      </c>
      <c r="E22" s="24" t="s">
        <v>39</v>
      </c>
      <c r="F22" s="42"/>
      <c r="G22" s="42"/>
      <c r="H22" s="42"/>
    </row>
    <row r="23" spans="1:8" ht="15.75">
      <c r="A23" s="2">
        <v>15</v>
      </c>
      <c r="B23" s="2" t="s">
        <v>27</v>
      </c>
      <c r="C23" s="9" t="s">
        <v>8</v>
      </c>
      <c r="D23" s="9" t="s">
        <v>8</v>
      </c>
      <c r="E23" s="9" t="s">
        <v>8</v>
      </c>
      <c r="F23" s="42"/>
      <c r="G23" s="42"/>
      <c r="H23" s="42"/>
    </row>
    <row r="24" spans="1:8" ht="27" customHeight="1">
      <c r="A24" s="2">
        <v>16</v>
      </c>
      <c r="B24" s="2" t="s">
        <v>28</v>
      </c>
      <c r="C24" s="45">
        <v>1</v>
      </c>
      <c r="D24" s="45" t="s">
        <v>25</v>
      </c>
      <c r="E24" s="46" t="s">
        <v>40</v>
      </c>
      <c r="F24" s="47"/>
      <c r="G24" s="42"/>
      <c r="H24" s="42"/>
    </row>
    <row r="25" spans="1:8" ht="15" customHeight="1">
      <c r="A25" s="63" t="s">
        <v>29</v>
      </c>
      <c r="B25" s="64"/>
      <c r="C25" s="33">
        <v>6</v>
      </c>
      <c r="D25" s="84"/>
      <c r="E25" s="84"/>
      <c r="F25" s="42"/>
      <c r="G25" s="47"/>
      <c r="H25" s="47"/>
    </row>
    <row r="26" spans="1:8" ht="15.75">
      <c r="A26" s="27" t="s">
        <v>30</v>
      </c>
      <c r="F26" s="42"/>
      <c r="G26" s="42"/>
      <c r="H26" s="42"/>
    </row>
  </sheetData>
  <mergeCells count="17">
    <mergeCell ref="E2:E3"/>
    <mergeCell ref="E9:E10"/>
    <mergeCell ref="E15:E19"/>
    <mergeCell ref="A1:H1"/>
    <mergeCell ref="C2:D2"/>
    <mergeCell ref="A25:B25"/>
    <mergeCell ref="D25:E25"/>
    <mergeCell ref="A2:A3"/>
    <mergeCell ref="A9:A10"/>
    <mergeCell ref="A15:A19"/>
    <mergeCell ref="B2:B3"/>
    <mergeCell ref="B9:B10"/>
    <mergeCell ref="B15:B19"/>
    <mergeCell ref="C9:C10"/>
    <mergeCell ref="C15:C19"/>
    <mergeCell ref="D9:D10"/>
    <mergeCell ref="D15:D19"/>
  </mergeCells>
  <pageMargins left="0.42" right="0.28000000000000003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3"/>
  <sheetViews>
    <sheetView workbookViewId="0">
      <selection activeCell="I5" sqref="I5"/>
    </sheetView>
  </sheetViews>
  <sheetFormatPr defaultColWidth="9" defaultRowHeight="15"/>
  <cols>
    <col min="1" max="1" width="4.85546875" customWidth="1"/>
    <col min="2" max="2" width="16.42578125" customWidth="1"/>
    <col min="3" max="3" width="15.28515625" customWidth="1"/>
    <col min="4" max="4" width="29.5703125" customWidth="1"/>
    <col min="5" max="5" width="30.28515625" customWidth="1"/>
    <col min="6" max="6" width="15" style="28" customWidth="1"/>
    <col min="7" max="7" width="14.5703125" customWidth="1"/>
  </cols>
  <sheetData>
    <row r="1" spans="1:13" ht="23.25" customHeight="1">
      <c r="A1" s="81" t="s">
        <v>41</v>
      </c>
      <c r="B1" s="82"/>
      <c r="C1" s="82"/>
      <c r="D1" s="82"/>
      <c r="E1" s="82"/>
      <c r="F1" s="82"/>
      <c r="G1" s="82"/>
    </row>
    <row r="2" spans="1:13" ht="24" customHeight="1">
      <c r="A2" s="67" t="s">
        <v>1</v>
      </c>
      <c r="B2" s="69" t="s">
        <v>2</v>
      </c>
      <c r="C2" s="67" t="s">
        <v>5</v>
      </c>
      <c r="D2" s="92" t="s">
        <v>42</v>
      </c>
      <c r="E2" s="67" t="s">
        <v>4</v>
      </c>
      <c r="F2" s="97" t="s">
        <v>43</v>
      </c>
      <c r="G2" s="97" t="s">
        <v>44</v>
      </c>
    </row>
    <row r="3" spans="1:13" ht="23.25" customHeight="1">
      <c r="A3" s="68"/>
      <c r="B3" s="71"/>
      <c r="C3" s="68"/>
      <c r="D3" s="93"/>
      <c r="E3" s="68"/>
      <c r="F3" s="98"/>
      <c r="G3" s="98"/>
    </row>
    <row r="4" spans="1:13" ht="15.75">
      <c r="A4" s="2">
        <v>1</v>
      </c>
      <c r="B4" s="18" t="s">
        <v>7</v>
      </c>
      <c r="C4" s="8">
        <v>1</v>
      </c>
      <c r="D4" s="8" t="s">
        <v>45</v>
      </c>
      <c r="E4" s="8" t="s">
        <v>46</v>
      </c>
      <c r="F4" s="40">
        <v>2</v>
      </c>
      <c r="G4" s="8">
        <v>1</v>
      </c>
    </row>
    <row r="5" spans="1:13" ht="46.5" customHeight="1">
      <c r="A5" s="2">
        <v>2</v>
      </c>
      <c r="B5" s="18" t="s">
        <v>9</v>
      </c>
      <c r="C5" s="26">
        <v>1</v>
      </c>
      <c r="D5" s="26" t="s">
        <v>45</v>
      </c>
      <c r="E5" s="40" t="s">
        <v>47</v>
      </c>
      <c r="F5" s="26">
        <v>1</v>
      </c>
      <c r="G5" s="26">
        <v>1</v>
      </c>
      <c r="H5" s="50"/>
      <c r="I5" s="51"/>
      <c r="J5" s="99"/>
      <c r="K5" s="99"/>
      <c r="L5" s="96"/>
      <c r="M5" s="96"/>
    </row>
    <row r="6" spans="1:13" ht="15.75">
      <c r="A6" s="2">
        <v>3</v>
      </c>
      <c r="B6" s="18" t="s">
        <v>10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50"/>
      <c r="I6" s="51"/>
      <c r="J6" s="99"/>
      <c r="K6" s="99"/>
      <c r="L6" s="96"/>
      <c r="M6" s="96"/>
    </row>
    <row r="7" spans="1:13" s="41" customFormat="1" ht="31.5">
      <c r="A7" s="2">
        <v>4</v>
      </c>
      <c r="B7" s="15" t="s">
        <v>11</v>
      </c>
      <c r="C7" s="26">
        <v>1</v>
      </c>
      <c r="D7" s="40" t="s">
        <v>48</v>
      </c>
      <c r="E7" s="26" t="s">
        <v>49</v>
      </c>
      <c r="F7" s="26" t="s">
        <v>8</v>
      </c>
      <c r="G7" s="26" t="s">
        <v>8</v>
      </c>
      <c r="H7" s="52"/>
      <c r="I7" s="51"/>
      <c r="J7" s="51"/>
      <c r="K7" s="51"/>
      <c r="L7" s="51"/>
      <c r="M7" s="51"/>
    </row>
    <row r="8" spans="1:13" ht="15.75">
      <c r="A8" s="2">
        <v>5</v>
      </c>
      <c r="B8" s="15" t="s">
        <v>12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50"/>
      <c r="I8" s="51"/>
      <c r="J8" s="51"/>
      <c r="K8" s="51"/>
      <c r="L8" s="51"/>
      <c r="M8" s="51"/>
    </row>
    <row r="9" spans="1:13" s="41" customFormat="1" ht="31.5">
      <c r="A9" s="2">
        <v>6</v>
      </c>
      <c r="B9" s="15" t="s">
        <v>13</v>
      </c>
      <c r="C9" s="26">
        <v>1</v>
      </c>
      <c r="D9" s="26" t="s">
        <v>50</v>
      </c>
      <c r="E9" s="40" t="s">
        <v>51</v>
      </c>
      <c r="F9" s="26">
        <v>1</v>
      </c>
      <c r="G9" s="26">
        <v>1</v>
      </c>
      <c r="H9" s="52"/>
      <c r="I9" s="51"/>
      <c r="J9" s="51"/>
      <c r="K9" s="51"/>
      <c r="L9" s="51"/>
      <c r="M9" s="53"/>
    </row>
    <row r="10" spans="1:13" ht="15.75">
      <c r="A10" s="69">
        <v>7</v>
      </c>
      <c r="B10" s="88" t="s">
        <v>16</v>
      </c>
      <c r="C10" s="90">
        <v>2</v>
      </c>
      <c r="D10" s="8" t="s">
        <v>52</v>
      </c>
      <c r="E10" s="94" t="s">
        <v>53</v>
      </c>
      <c r="F10" s="90">
        <v>2</v>
      </c>
      <c r="G10" s="8" t="s">
        <v>8</v>
      </c>
      <c r="H10" s="50"/>
      <c r="I10" s="51"/>
      <c r="J10" s="51"/>
      <c r="K10" s="53"/>
      <c r="L10" s="53"/>
      <c r="M10" s="53"/>
    </row>
    <row r="11" spans="1:13" ht="15.75">
      <c r="A11" s="71"/>
      <c r="B11" s="89"/>
      <c r="C11" s="91"/>
      <c r="D11" s="8" t="s">
        <v>54</v>
      </c>
      <c r="E11" s="95"/>
      <c r="F11" s="91"/>
      <c r="G11" s="8" t="s">
        <v>8</v>
      </c>
      <c r="H11" s="50"/>
      <c r="I11" s="51"/>
      <c r="J11" s="51"/>
      <c r="K11" s="54"/>
      <c r="L11" s="53"/>
      <c r="M11" s="53"/>
    </row>
    <row r="12" spans="1:13" ht="15.75">
      <c r="A12" s="2">
        <v>8</v>
      </c>
      <c r="B12" s="18" t="s">
        <v>17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13" ht="15.75">
      <c r="A13" s="2">
        <v>9</v>
      </c>
      <c r="B13" s="18" t="s">
        <v>18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13" ht="15.75">
      <c r="A14" s="69">
        <v>10</v>
      </c>
      <c r="B14" s="88" t="s">
        <v>19</v>
      </c>
      <c r="C14" s="90">
        <v>2</v>
      </c>
      <c r="D14" s="8" t="s">
        <v>55</v>
      </c>
      <c r="E14" s="90" t="s">
        <v>55</v>
      </c>
      <c r="F14" s="8">
        <v>3</v>
      </c>
      <c r="G14" s="8">
        <v>1</v>
      </c>
    </row>
    <row r="15" spans="1:13" ht="15.75">
      <c r="A15" s="71"/>
      <c r="B15" s="89"/>
      <c r="C15" s="91"/>
      <c r="D15" s="8" t="s">
        <v>56</v>
      </c>
      <c r="E15" s="91"/>
      <c r="F15" s="26">
        <v>1</v>
      </c>
      <c r="G15" s="26" t="s">
        <v>8</v>
      </c>
    </row>
    <row r="16" spans="1:13" ht="47.25">
      <c r="A16" s="1">
        <v>11</v>
      </c>
      <c r="B16" s="39" t="s">
        <v>37</v>
      </c>
      <c r="C16" s="26">
        <v>1</v>
      </c>
      <c r="D16" s="26" t="s">
        <v>57</v>
      </c>
      <c r="E16" s="26" t="s">
        <v>58</v>
      </c>
      <c r="F16" s="26">
        <v>1</v>
      </c>
      <c r="G16" s="26" t="s">
        <v>8</v>
      </c>
    </row>
    <row r="17" spans="1:7" ht="15.75">
      <c r="A17" s="1">
        <v>12</v>
      </c>
      <c r="B17" s="15" t="s">
        <v>21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ht="15.75">
      <c r="A18" s="1">
        <v>13</v>
      </c>
      <c r="B18" s="15" t="s">
        <v>23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ht="15.75">
      <c r="A19" s="1">
        <v>14</v>
      </c>
      <c r="B19" s="18" t="s">
        <v>24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</row>
    <row r="20" spans="1:7" ht="15.75">
      <c r="A20" s="1">
        <v>15</v>
      </c>
      <c r="B20" s="18" t="s">
        <v>27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</row>
    <row r="21" spans="1:7" ht="15.75">
      <c r="A21" s="1">
        <v>16</v>
      </c>
      <c r="B21" s="18" t="s">
        <v>28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>
      <c r="A22" s="86" t="s">
        <v>29</v>
      </c>
      <c r="B22" s="87"/>
      <c r="C22" s="33">
        <v>9</v>
      </c>
      <c r="D22" s="65"/>
      <c r="E22" s="66"/>
      <c r="F22" s="33">
        <f>SUM(F4:F21)</f>
        <v>11</v>
      </c>
      <c r="G22" s="33">
        <f>SUM(G4:G21)</f>
        <v>4</v>
      </c>
    </row>
    <row r="23" spans="1:7" ht="15" customHeight="1">
      <c r="A23" s="27" t="s">
        <v>59</v>
      </c>
      <c r="B23" s="25"/>
      <c r="C23" s="25"/>
      <c r="D23" s="25"/>
      <c r="E23" s="25"/>
      <c r="F23" s="35"/>
      <c r="G23" s="25"/>
    </row>
  </sheetData>
  <mergeCells count="23">
    <mergeCell ref="L5:L6"/>
    <mergeCell ref="M5:M6"/>
    <mergeCell ref="F2:F3"/>
    <mergeCell ref="F10:F11"/>
    <mergeCell ref="G2:G3"/>
    <mergeCell ref="J5:J6"/>
    <mergeCell ref="K5:K6"/>
    <mergeCell ref="A1:G1"/>
    <mergeCell ref="A22:B22"/>
    <mergeCell ref="D22:E22"/>
    <mergeCell ref="A2:A3"/>
    <mergeCell ref="A10:A11"/>
    <mergeCell ref="A14:A15"/>
    <mergeCell ref="B2:B3"/>
    <mergeCell ref="B10:B11"/>
    <mergeCell ref="B14:B15"/>
    <mergeCell ref="C2:C3"/>
    <mergeCell ref="C10:C11"/>
    <mergeCell ref="C14:C15"/>
    <mergeCell ref="D2:D3"/>
    <mergeCell ref="E2:E3"/>
    <mergeCell ref="E10:E11"/>
    <mergeCell ref="E14:E15"/>
  </mergeCells>
  <pageMargins left="0.42" right="0.28000000000000003" top="0.75" bottom="0.75" header="0.3" footer="0.3"/>
  <pageSetup paperSize="5" scale="55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topLeftCell="A10" workbookViewId="0">
      <selection activeCell="L12" sqref="L12"/>
    </sheetView>
  </sheetViews>
  <sheetFormatPr defaultColWidth="9" defaultRowHeight="15"/>
  <cols>
    <col min="1" max="1" width="5.7109375" customWidth="1"/>
    <col min="2" max="2" width="19.140625" customWidth="1"/>
    <col min="3" max="3" width="16.5703125" customWidth="1"/>
    <col min="4" max="4" width="25.7109375" customWidth="1"/>
    <col min="5" max="5" width="28.85546875" customWidth="1"/>
    <col min="6" max="6" width="14.7109375" customWidth="1"/>
    <col min="7" max="7" width="18.28515625" customWidth="1"/>
  </cols>
  <sheetData>
    <row r="1" spans="1:7" ht="30.75" customHeight="1">
      <c r="A1" s="81" t="s">
        <v>60</v>
      </c>
      <c r="B1" s="82"/>
      <c r="C1" s="82"/>
      <c r="D1" s="82"/>
      <c r="E1" s="82"/>
      <c r="F1" s="82"/>
      <c r="G1" s="82"/>
    </row>
    <row r="2" spans="1:7" ht="28.5" customHeight="1">
      <c r="A2" s="67" t="s">
        <v>1</v>
      </c>
      <c r="B2" s="69" t="s">
        <v>2</v>
      </c>
      <c r="C2" s="67" t="s">
        <v>5</v>
      </c>
      <c r="D2" s="92" t="s">
        <v>42</v>
      </c>
      <c r="E2" s="67" t="s">
        <v>4</v>
      </c>
      <c r="F2" s="97" t="s">
        <v>43</v>
      </c>
      <c r="G2" s="97" t="s">
        <v>44</v>
      </c>
    </row>
    <row r="3" spans="1:7" ht="23.25" customHeight="1">
      <c r="A3" s="68"/>
      <c r="B3" s="71"/>
      <c r="C3" s="68"/>
      <c r="D3" s="93"/>
      <c r="E3" s="68"/>
      <c r="F3" s="98"/>
      <c r="G3" s="98"/>
    </row>
    <row r="4" spans="1:7" ht="15.75">
      <c r="A4" s="2">
        <v>1</v>
      </c>
      <c r="B4" s="18" t="s">
        <v>7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24" customHeight="1">
      <c r="A5" s="69">
        <v>2</v>
      </c>
      <c r="B5" s="88" t="s">
        <v>9</v>
      </c>
      <c r="C5" s="90">
        <v>2</v>
      </c>
      <c r="D5" s="8" t="s">
        <v>61</v>
      </c>
      <c r="E5" s="100" t="s">
        <v>62</v>
      </c>
      <c r="F5" s="90">
        <v>2</v>
      </c>
      <c r="G5" s="8" t="s">
        <v>8</v>
      </c>
    </row>
    <row r="6" spans="1:7" ht="24" customHeight="1">
      <c r="A6" s="71"/>
      <c r="B6" s="89"/>
      <c r="C6" s="91"/>
      <c r="D6" s="8" t="s">
        <v>63</v>
      </c>
      <c r="E6" s="101"/>
      <c r="F6" s="91"/>
      <c r="G6" s="8" t="s">
        <v>8</v>
      </c>
    </row>
    <row r="7" spans="1:7" ht="15.75">
      <c r="A7" s="2">
        <v>3</v>
      </c>
      <c r="B7" s="18" t="s">
        <v>10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</row>
    <row r="8" spans="1:7" ht="15.75">
      <c r="A8" s="2">
        <v>4</v>
      </c>
      <c r="B8" s="15" t="s">
        <v>11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5.75">
      <c r="A9" s="2">
        <v>5</v>
      </c>
      <c r="B9" s="15" t="s">
        <v>12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ht="15.75">
      <c r="A10" s="69">
        <v>6</v>
      </c>
      <c r="B10" s="88" t="s">
        <v>13</v>
      </c>
      <c r="C10" s="90">
        <v>2</v>
      </c>
      <c r="D10" s="8" t="s">
        <v>64</v>
      </c>
      <c r="E10" s="100" t="s">
        <v>65</v>
      </c>
      <c r="F10" s="90">
        <v>2</v>
      </c>
      <c r="G10" s="90">
        <v>1</v>
      </c>
    </row>
    <row r="11" spans="1:7" ht="15.75">
      <c r="A11" s="71"/>
      <c r="B11" s="89"/>
      <c r="C11" s="91"/>
      <c r="D11" s="8" t="s">
        <v>66</v>
      </c>
      <c r="E11" s="101"/>
      <c r="F11" s="91"/>
      <c r="G11" s="91"/>
    </row>
    <row r="12" spans="1:7" ht="31.5">
      <c r="A12" s="2">
        <v>7</v>
      </c>
      <c r="B12" s="18" t="s">
        <v>16</v>
      </c>
      <c r="C12" s="26">
        <v>1</v>
      </c>
      <c r="D12" s="26" t="s">
        <v>67</v>
      </c>
      <c r="E12" s="38" t="s">
        <v>65</v>
      </c>
      <c r="F12" s="26">
        <v>1</v>
      </c>
      <c r="G12" s="26">
        <v>1</v>
      </c>
    </row>
    <row r="13" spans="1:7" ht="15.75">
      <c r="A13" s="2">
        <v>8</v>
      </c>
      <c r="B13" s="18" t="s">
        <v>17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7" ht="15.75">
      <c r="A14" s="2">
        <v>9</v>
      </c>
      <c r="B14" s="18" t="s">
        <v>18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ht="15.75">
      <c r="A15" s="69">
        <v>10</v>
      </c>
      <c r="B15" s="88" t="s">
        <v>19</v>
      </c>
      <c r="C15" s="90">
        <v>2</v>
      </c>
      <c r="D15" s="8" t="s">
        <v>68</v>
      </c>
      <c r="E15" s="90" t="s">
        <v>68</v>
      </c>
      <c r="F15" s="8">
        <v>2</v>
      </c>
      <c r="G15" s="8" t="s">
        <v>8</v>
      </c>
    </row>
    <row r="16" spans="1:7" ht="15.75">
      <c r="A16" s="71"/>
      <c r="B16" s="89"/>
      <c r="C16" s="91"/>
      <c r="D16" s="8" t="s">
        <v>56</v>
      </c>
      <c r="E16" s="91"/>
      <c r="F16" s="8">
        <v>1</v>
      </c>
      <c r="G16" s="8" t="s">
        <v>8</v>
      </c>
    </row>
    <row r="17" spans="1:7" ht="47.25">
      <c r="A17" s="1">
        <v>11</v>
      </c>
      <c r="B17" s="39" t="s">
        <v>37</v>
      </c>
      <c r="C17" s="26">
        <v>1</v>
      </c>
      <c r="D17" s="26" t="s">
        <v>69</v>
      </c>
      <c r="E17" s="26" t="s">
        <v>70</v>
      </c>
      <c r="F17" s="26">
        <v>1</v>
      </c>
      <c r="G17" s="26" t="s">
        <v>8</v>
      </c>
    </row>
    <row r="18" spans="1:7" ht="47.25">
      <c r="A18" s="1">
        <v>12</v>
      </c>
      <c r="B18" s="15" t="s">
        <v>21</v>
      </c>
      <c r="C18" s="26">
        <v>1</v>
      </c>
      <c r="D18" s="38" t="s">
        <v>71</v>
      </c>
      <c r="E18" s="40" t="s">
        <v>72</v>
      </c>
      <c r="F18" s="26">
        <v>1</v>
      </c>
      <c r="G18" s="26">
        <v>1</v>
      </c>
    </row>
    <row r="19" spans="1:7" ht="15.75">
      <c r="A19" s="1">
        <v>13</v>
      </c>
      <c r="B19" s="15" t="s">
        <v>23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</row>
    <row r="20" spans="1:7" ht="31.5">
      <c r="A20" s="1">
        <v>14</v>
      </c>
      <c r="B20" s="18" t="s">
        <v>24</v>
      </c>
      <c r="C20" s="26">
        <v>1</v>
      </c>
      <c r="D20" s="26">
        <v>1</v>
      </c>
      <c r="E20" s="38" t="s">
        <v>73</v>
      </c>
      <c r="F20" s="26">
        <v>1</v>
      </c>
      <c r="G20" s="26" t="s">
        <v>8</v>
      </c>
    </row>
    <row r="21" spans="1:7" ht="15.75">
      <c r="A21" s="1">
        <v>15</v>
      </c>
      <c r="B21" s="18" t="s">
        <v>27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ht="15.75">
      <c r="A22" s="1">
        <v>16</v>
      </c>
      <c r="B22" s="18" t="s">
        <v>28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</row>
    <row r="23" spans="1:7">
      <c r="A23" s="86" t="s">
        <v>29</v>
      </c>
      <c r="B23" s="87"/>
      <c r="C23" s="33">
        <v>10</v>
      </c>
      <c r="D23" s="65"/>
      <c r="E23" s="66"/>
      <c r="F23" s="33">
        <f>SUM(F5:F22)</f>
        <v>11</v>
      </c>
      <c r="G23" s="33">
        <f>SUM(G10:G22)</f>
        <v>3</v>
      </c>
    </row>
    <row r="24" spans="1:7" ht="15" customHeight="1">
      <c r="A24" s="27" t="s">
        <v>59</v>
      </c>
      <c r="B24" s="25"/>
      <c r="C24" s="25"/>
      <c r="D24" s="25"/>
      <c r="E24" s="25"/>
      <c r="F24" s="25"/>
      <c r="G24" s="25"/>
    </row>
  </sheetData>
  <mergeCells count="25">
    <mergeCell ref="F2:F3"/>
    <mergeCell ref="F5:F6"/>
    <mergeCell ref="F10:F11"/>
    <mergeCell ref="A1:G1"/>
    <mergeCell ref="G2:G3"/>
    <mergeCell ref="G10:G11"/>
    <mergeCell ref="E2:E3"/>
    <mergeCell ref="E5:E6"/>
    <mergeCell ref="E10:E11"/>
    <mergeCell ref="A23:B23"/>
    <mergeCell ref="D23:E23"/>
    <mergeCell ref="A2:A3"/>
    <mergeCell ref="A5:A6"/>
    <mergeCell ref="A10:A11"/>
    <mergeCell ref="A15:A16"/>
    <mergeCell ref="B2:B3"/>
    <mergeCell ref="B5:B6"/>
    <mergeCell ref="B10:B11"/>
    <mergeCell ref="B15:B16"/>
    <mergeCell ref="C2:C3"/>
    <mergeCell ref="C5:C6"/>
    <mergeCell ref="C10:C11"/>
    <mergeCell ref="C15:C16"/>
    <mergeCell ref="D2:D3"/>
    <mergeCell ref="E15:E16"/>
  </mergeCells>
  <pageMargins left="0.42" right="0.28000000000000003" top="0.75" bottom="0.75" header="0.3" footer="0.3"/>
  <pageSetup paperSize="5" scale="55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6"/>
  <sheetViews>
    <sheetView topLeftCell="A16" workbookViewId="0">
      <selection activeCell="L51" sqref="L51"/>
    </sheetView>
  </sheetViews>
  <sheetFormatPr defaultColWidth="9.140625" defaultRowHeight="15"/>
  <cols>
    <col min="1" max="1" width="6.42578125" style="25" customWidth="1"/>
    <col min="2" max="2" width="18" style="25" customWidth="1"/>
    <col min="3" max="3" width="15.7109375" style="25" customWidth="1"/>
    <col min="4" max="4" width="36.7109375" style="25" customWidth="1"/>
    <col min="5" max="5" width="25.7109375" style="25" customWidth="1"/>
    <col min="6" max="6" width="15.140625" style="25" customWidth="1"/>
    <col min="7" max="7" width="15.7109375" style="25" customWidth="1"/>
    <col min="8" max="8" width="14.28515625" style="25" customWidth="1"/>
    <col min="9" max="16384" width="9.140625" style="25"/>
  </cols>
  <sheetData>
    <row r="1" spans="1:9" ht="24" customHeight="1">
      <c r="A1" s="81" t="s">
        <v>74</v>
      </c>
      <c r="B1" s="82"/>
      <c r="C1" s="82"/>
      <c r="D1" s="82"/>
      <c r="E1" s="82"/>
      <c r="F1" s="82"/>
      <c r="G1" s="82"/>
      <c r="H1" s="82"/>
    </row>
    <row r="2" spans="1:9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76</v>
      </c>
      <c r="G2" s="97" t="s">
        <v>77</v>
      </c>
      <c r="H2" s="97" t="s">
        <v>44</v>
      </c>
    </row>
    <row r="3" spans="1:9" ht="54" customHeight="1">
      <c r="A3" s="68"/>
      <c r="B3" s="72"/>
      <c r="C3" s="68"/>
      <c r="D3" s="93"/>
      <c r="E3" s="79"/>
      <c r="F3" s="68"/>
      <c r="G3" s="98"/>
      <c r="H3" s="98"/>
    </row>
    <row r="4" spans="1:9" ht="15.75" customHeight="1">
      <c r="A4" s="72">
        <v>1</v>
      </c>
      <c r="B4" s="103" t="s">
        <v>7</v>
      </c>
      <c r="C4" s="90">
        <v>2</v>
      </c>
      <c r="D4" s="106" t="s">
        <v>78</v>
      </c>
      <c r="E4" s="90" t="s">
        <v>79</v>
      </c>
      <c r="F4" s="90" t="s">
        <v>8</v>
      </c>
      <c r="G4" s="90" t="s">
        <v>8</v>
      </c>
      <c r="H4" s="90">
        <v>1</v>
      </c>
    </row>
    <row r="5" spans="1:9" ht="15.75" customHeight="1">
      <c r="A5" s="72"/>
      <c r="B5" s="103"/>
      <c r="C5" s="105"/>
      <c r="D5" s="107"/>
      <c r="E5" s="91"/>
      <c r="F5" s="91"/>
      <c r="G5" s="91"/>
      <c r="H5" s="91"/>
    </row>
    <row r="6" spans="1:9" ht="15.75" customHeight="1">
      <c r="A6" s="72"/>
      <c r="B6" s="103"/>
      <c r="C6" s="105"/>
      <c r="D6" s="106" t="s">
        <v>80</v>
      </c>
      <c r="E6" s="90" t="s">
        <v>81</v>
      </c>
      <c r="F6" s="90" t="s">
        <v>8</v>
      </c>
      <c r="G6" s="90" t="s">
        <v>8</v>
      </c>
      <c r="H6" s="90" t="s">
        <v>8</v>
      </c>
    </row>
    <row r="7" spans="1:9" ht="15.75" customHeight="1">
      <c r="A7" s="72"/>
      <c r="B7" s="103"/>
      <c r="C7" s="91"/>
      <c r="D7" s="107"/>
      <c r="E7" s="91"/>
      <c r="F7" s="91"/>
      <c r="G7" s="91"/>
      <c r="H7" s="91"/>
    </row>
    <row r="8" spans="1:9" ht="15.75">
      <c r="A8" s="1">
        <v>2</v>
      </c>
      <c r="B8" s="17" t="s">
        <v>27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</row>
    <row r="9" spans="1:9" ht="15.75">
      <c r="A9" s="2">
        <v>3</v>
      </c>
      <c r="B9" s="18" t="s">
        <v>23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</row>
    <row r="10" spans="1:9" ht="15.75">
      <c r="A10" s="2">
        <v>4</v>
      </c>
      <c r="B10" s="18" t="s">
        <v>19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</row>
    <row r="11" spans="1:9" ht="15.75">
      <c r="A11" s="1">
        <v>5</v>
      </c>
      <c r="B11" s="18" t="s">
        <v>12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</row>
    <row r="12" spans="1:9" ht="15.75" customHeight="1">
      <c r="A12" s="69">
        <v>6</v>
      </c>
      <c r="B12" s="88" t="s">
        <v>24</v>
      </c>
      <c r="C12" s="90">
        <v>2</v>
      </c>
      <c r="D12" s="106" t="s">
        <v>82</v>
      </c>
      <c r="E12" s="90" t="s">
        <v>83</v>
      </c>
      <c r="F12" s="90" t="s">
        <v>8</v>
      </c>
      <c r="G12" s="90" t="s">
        <v>8</v>
      </c>
      <c r="H12" s="111">
        <v>1</v>
      </c>
      <c r="I12" s="111">
        <v>1</v>
      </c>
    </row>
    <row r="13" spans="1:9" ht="15.75" customHeight="1">
      <c r="A13" s="70"/>
      <c r="B13" s="104"/>
      <c r="C13" s="105"/>
      <c r="D13" s="107"/>
      <c r="E13" s="91"/>
      <c r="F13" s="91"/>
      <c r="G13" s="91"/>
      <c r="H13" s="112"/>
      <c r="I13" s="112"/>
    </row>
    <row r="14" spans="1:9" ht="15.75" customHeight="1">
      <c r="A14" s="70"/>
      <c r="B14" s="104"/>
      <c r="C14" s="105"/>
      <c r="D14" s="106" t="s">
        <v>84</v>
      </c>
      <c r="E14" s="90" t="s">
        <v>83</v>
      </c>
      <c r="F14" s="90" t="s">
        <v>8</v>
      </c>
      <c r="G14" s="90" t="s">
        <v>8</v>
      </c>
      <c r="H14" s="111">
        <v>1</v>
      </c>
      <c r="I14" s="111">
        <v>1</v>
      </c>
    </row>
    <row r="15" spans="1:9" ht="15.75" customHeight="1">
      <c r="A15" s="70"/>
      <c r="B15" s="104"/>
      <c r="C15" s="91"/>
      <c r="D15" s="107"/>
      <c r="E15" s="91"/>
      <c r="F15" s="91"/>
      <c r="G15" s="91"/>
      <c r="H15" s="112"/>
      <c r="I15" s="112"/>
    </row>
    <row r="16" spans="1:9" ht="15.75" customHeight="1">
      <c r="A16" s="69">
        <v>7</v>
      </c>
      <c r="B16" s="88" t="s">
        <v>9</v>
      </c>
      <c r="C16" s="90">
        <v>11</v>
      </c>
      <c r="D16" s="108" t="s">
        <v>85</v>
      </c>
      <c r="E16" s="90" t="s">
        <v>83</v>
      </c>
      <c r="F16" s="90">
        <v>1</v>
      </c>
      <c r="G16" s="90" t="s">
        <v>8</v>
      </c>
      <c r="H16" s="111">
        <v>3</v>
      </c>
      <c r="I16" s="111">
        <v>3</v>
      </c>
    </row>
    <row r="17" spans="1:9" ht="15.75" customHeight="1">
      <c r="A17" s="70"/>
      <c r="B17" s="104"/>
      <c r="C17" s="105"/>
      <c r="D17" s="109"/>
      <c r="E17" s="105"/>
      <c r="F17" s="105"/>
      <c r="G17" s="105"/>
      <c r="H17" s="113"/>
      <c r="I17" s="113"/>
    </row>
    <row r="18" spans="1:9" ht="15.75" customHeight="1">
      <c r="A18" s="70"/>
      <c r="B18" s="104"/>
      <c r="C18" s="105"/>
      <c r="D18" s="110"/>
      <c r="E18" s="91"/>
      <c r="F18" s="91"/>
      <c r="G18" s="91"/>
      <c r="H18" s="112"/>
      <c r="I18" s="112"/>
    </row>
    <row r="19" spans="1:9" ht="15.75" customHeight="1">
      <c r="A19" s="70"/>
      <c r="B19" s="104"/>
      <c r="C19" s="105"/>
      <c r="D19" s="108" t="s">
        <v>86</v>
      </c>
      <c r="E19" s="90" t="s">
        <v>83</v>
      </c>
      <c r="F19" s="90" t="s">
        <v>8</v>
      </c>
      <c r="G19" s="90" t="s">
        <v>8</v>
      </c>
      <c r="H19" s="111">
        <v>1</v>
      </c>
      <c r="I19" s="111">
        <v>1</v>
      </c>
    </row>
    <row r="20" spans="1:9" ht="15.75" customHeight="1">
      <c r="A20" s="70"/>
      <c r="B20" s="104"/>
      <c r="C20" s="105"/>
      <c r="D20" s="109"/>
      <c r="E20" s="105"/>
      <c r="F20" s="105"/>
      <c r="G20" s="105"/>
      <c r="H20" s="113"/>
      <c r="I20" s="113"/>
    </row>
    <row r="21" spans="1:9" ht="15.75" customHeight="1">
      <c r="A21" s="70"/>
      <c r="B21" s="104"/>
      <c r="C21" s="105"/>
      <c r="D21" s="110"/>
      <c r="E21" s="91"/>
      <c r="F21" s="91"/>
      <c r="G21" s="91"/>
      <c r="H21" s="112"/>
      <c r="I21" s="112"/>
    </row>
    <row r="22" spans="1:9" ht="15.75" customHeight="1">
      <c r="A22" s="70"/>
      <c r="B22" s="104"/>
      <c r="C22" s="105"/>
      <c r="D22" s="108" t="s">
        <v>87</v>
      </c>
      <c r="E22" s="90" t="s">
        <v>83</v>
      </c>
      <c r="F22" s="90" t="s">
        <v>8</v>
      </c>
      <c r="G22" s="90" t="s">
        <v>8</v>
      </c>
      <c r="H22" s="111">
        <v>1</v>
      </c>
      <c r="I22" s="111">
        <v>1</v>
      </c>
    </row>
    <row r="23" spans="1:9" ht="15.75" customHeight="1">
      <c r="A23" s="70"/>
      <c r="B23" s="104"/>
      <c r="C23" s="105"/>
      <c r="D23" s="109"/>
      <c r="E23" s="105"/>
      <c r="F23" s="105"/>
      <c r="G23" s="105"/>
      <c r="H23" s="113"/>
      <c r="I23" s="113"/>
    </row>
    <row r="24" spans="1:9" ht="15.75" customHeight="1">
      <c r="A24" s="70"/>
      <c r="B24" s="104"/>
      <c r="C24" s="105"/>
      <c r="D24" s="109"/>
      <c r="E24" s="105"/>
      <c r="F24" s="105"/>
      <c r="G24" s="105"/>
      <c r="H24" s="113"/>
      <c r="I24" s="113"/>
    </row>
    <row r="25" spans="1:9" ht="15.75" customHeight="1">
      <c r="A25" s="70"/>
      <c r="B25" s="104"/>
      <c r="C25" s="105"/>
      <c r="D25" s="109"/>
      <c r="E25" s="105"/>
      <c r="F25" s="105"/>
      <c r="G25" s="105"/>
      <c r="H25" s="113"/>
      <c r="I25" s="113"/>
    </row>
    <row r="26" spans="1:9" ht="15.75" customHeight="1">
      <c r="A26" s="70"/>
      <c r="B26" s="104"/>
      <c r="C26" s="105"/>
      <c r="D26" s="110"/>
      <c r="E26" s="91"/>
      <c r="F26" s="91"/>
      <c r="G26" s="91"/>
      <c r="H26" s="112"/>
      <c r="I26" s="112"/>
    </row>
    <row r="27" spans="1:9" ht="15.75" customHeight="1">
      <c r="A27" s="70"/>
      <c r="B27" s="104"/>
      <c r="C27" s="105"/>
      <c r="D27" s="108" t="s">
        <v>88</v>
      </c>
      <c r="E27" s="90" t="s">
        <v>83</v>
      </c>
      <c r="F27" s="90" t="s">
        <v>8</v>
      </c>
      <c r="G27" s="90" t="s">
        <v>8</v>
      </c>
      <c r="H27" s="111">
        <v>1</v>
      </c>
      <c r="I27" s="111">
        <v>1</v>
      </c>
    </row>
    <row r="28" spans="1:9" ht="15.75" customHeight="1">
      <c r="A28" s="70"/>
      <c r="B28" s="104"/>
      <c r="C28" s="105"/>
      <c r="D28" s="109"/>
      <c r="E28" s="105"/>
      <c r="F28" s="105"/>
      <c r="G28" s="105"/>
      <c r="H28" s="113"/>
      <c r="I28" s="113"/>
    </row>
    <row r="29" spans="1:9" ht="15.75" customHeight="1">
      <c r="A29" s="70"/>
      <c r="B29" s="104"/>
      <c r="C29" s="105"/>
      <c r="D29" s="110"/>
      <c r="E29" s="91"/>
      <c r="F29" s="91"/>
      <c r="G29" s="91"/>
      <c r="H29" s="112"/>
      <c r="I29" s="112"/>
    </row>
    <row r="30" spans="1:9" ht="15.75" customHeight="1">
      <c r="A30" s="70"/>
      <c r="B30" s="104"/>
      <c r="C30" s="105"/>
      <c r="D30" s="108" t="s">
        <v>89</v>
      </c>
      <c r="E30" s="90" t="s">
        <v>90</v>
      </c>
      <c r="F30" s="90" t="s">
        <v>91</v>
      </c>
      <c r="G30" s="90" t="s">
        <v>8</v>
      </c>
      <c r="H30" s="90" t="s">
        <v>8</v>
      </c>
    </row>
    <row r="31" spans="1:9" ht="15.75" customHeight="1">
      <c r="A31" s="70"/>
      <c r="B31" s="104"/>
      <c r="C31" s="105"/>
      <c r="D31" s="109"/>
      <c r="E31" s="105"/>
      <c r="F31" s="105"/>
      <c r="G31" s="105"/>
      <c r="H31" s="105"/>
    </row>
    <row r="32" spans="1:9" ht="15.75" customHeight="1">
      <c r="A32" s="70"/>
      <c r="B32" s="104"/>
      <c r="C32" s="105"/>
      <c r="D32" s="109"/>
      <c r="E32" s="105"/>
      <c r="F32" s="105"/>
      <c r="G32" s="105"/>
      <c r="H32" s="105"/>
    </row>
    <row r="33" spans="1:9" ht="15.75" customHeight="1">
      <c r="A33" s="70"/>
      <c r="B33" s="104"/>
      <c r="C33" s="105"/>
      <c r="D33" s="110"/>
      <c r="E33" s="91"/>
      <c r="F33" s="91"/>
      <c r="G33" s="91"/>
      <c r="H33" s="91"/>
    </row>
    <row r="34" spans="1:9" ht="15.75" customHeight="1">
      <c r="A34" s="70"/>
      <c r="B34" s="104"/>
      <c r="C34" s="105"/>
      <c r="D34" s="108" t="s">
        <v>92</v>
      </c>
      <c r="E34" s="90" t="s">
        <v>83</v>
      </c>
      <c r="F34" s="90" t="s">
        <v>91</v>
      </c>
      <c r="G34" s="90" t="s">
        <v>91</v>
      </c>
      <c r="H34" s="111">
        <v>1</v>
      </c>
      <c r="I34" s="111">
        <v>1</v>
      </c>
    </row>
    <row r="35" spans="1:9" ht="15.75" customHeight="1">
      <c r="A35" s="70"/>
      <c r="B35" s="104"/>
      <c r="C35" s="105"/>
      <c r="D35" s="109"/>
      <c r="E35" s="105"/>
      <c r="F35" s="105"/>
      <c r="G35" s="105"/>
      <c r="H35" s="113"/>
      <c r="I35" s="113"/>
    </row>
    <row r="36" spans="1:9" ht="15.75" customHeight="1">
      <c r="A36" s="70"/>
      <c r="B36" s="104"/>
      <c r="C36" s="105"/>
      <c r="D36" s="109"/>
      <c r="E36" s="105"/>
      <c r="F36" s="105"/>
      <c r="G36" s="105"/>
      <c r="H36" s="113"/>
      <c r="I36" s="113"/>
    </row>
    <row r="37" spans="1:9" ht="15.75" customHeight="1">
      <c r="A37" s="70"/>
      <c r="B37" s="104"/>
      <c r="C37" s="105"/>
      <c r="D37" s="108" t="s">
        <v>93</v>
      </c>
      <c r="E37" s="90" t="s">
        <v>83</v>
      </c>
      <c r="F37" s="90" t="s">
        <v>91</v>
      </c>
      <c r="G37" s="90" t="s">
        <v>91</v>
      </c>
      <c r="H37" s="111">
        <v>1</v>
      </c>
      <c r="I37" s="111">
        <v>1</v>
      </c>
    </row>
    <row r="38" spans="1:9" ht="15.75" customHeight="1">
      <c r="A38" s="70"/>
      <c r="B38" s="104"/>
      <c r="C38" s="105"/>
      <c r="D38" s="109"/>
      <c r="E38" s="105"/>
      <c r="F38" s="105"/>
      <c r="G38" s="105"/>
      <c r="H38" s="113"/>
      <c r="I38" s="113"/>
    </row>
    <row r="39" spans="1:9" ht="15.75" customHeight="1">
      <c r="A39" s="70"/>
      <c r="B39" s="104"/>
      <c r="C39" s="105"/>
      <c r="D39" s="110"/>
      <c r="E39" s="91"/>
      <c r="F39" s="91"/>
      <c r="G39" s="91"/>
      <c r="H39" s="112"/>
      <c r="I39" s="112"/>
    </row>
    <row r="40" spans="1:9" ht="15.75" customHeight="1">
      <c r="A40" s="70"/>
      <c r="B40" s="104"/>
      <c r="C40" s="105"/>
      <c r="D40" s="108" t="s">
        <v>94</v>
      </c>
      <c r="E40" s="90" t="s">
        <v>83</v>
      </c>
      <c r="F40" s="90" t="s">
        <v>91</v>
      </c>
      <c r="G40" s="90" t="s">
        <v>91</v>
      </c>
      <c r="H40" s="111">
        <v>1</v>
      </c>
      <c r="I40" s="111">
        <v>1</v>
      </c>
    </row>
    <row r="41" spans="1:9" ht="15.75" customHeight="1">
      <c r="A41" s="70"/>
      <c r="B41" s="104"/>
      <c r="C41" s="105"/>
      <c r="D41" s="109"/>
      <c r="E41" s="105"/>
      <c r="F41" s="105"/>
      <c r="G41" s="105"/>
      <c r="H41" s="113"/>
      <c r="I41" s="113"/>
    </row>
    <row r="42" spans="1:9" ht="15.75" customHeight="1">
      <c r="A42" s="70"/>
      <c r="B42" s="104"/>
      <c r="C42" s="105"/>
      <c r="D42" s="110"/>
      <c r="E42" s="91"/>
      <c r="F42" s="91"/>
      <c r="G42" s="91"/>
      <c r="H42" s="112"/>
      <c r="I42" s="112"/>
    </row>
    <row r="43" spans="1:9" ht="15.75" customHeight="1">
      <c r="A43" s="70"/>
      <c r="B43" s="104"/>
      <c r="C43" s="105"/>
      <c r="D43" s="108" t="s">
        <v>95</v>
      </c>
      <c r="E43" s="90" t="s">
        <v>96</v>
      </c>
      <c r="F43" s="90" t="s">
        <v>91</v>
      </c>
      <c r="G43" s="90" t="s">
        <v>91</v>
      </c>
      <c r="H43" s="90" t="s">
        <v>91</v>
      </c>
    </row>
    <row r="44" spans="1:9" ht="15.75" customHeight="1">
      <c r="A44" s="70"/>
      <c r="B44" s="104"/>
      <c r="C44" s="105"/>
      <c r="D44" s="109"/>
      <c r="E44" s="105"/>
      <c r="F44" s="105"/>
      <c r="G44" s="105"/>
      <c r="H44" s="105"/>
    </row>
    <row r="45" spans="1:9" ht="15.75" customHeight="1">
      <c r="A45" s="70"/>
      <c r="B45" s="104"/>
      <c r="C45" s="105"/>
      <c r="D45" s="109"/>
      <c r="E45" s="105"/>
      <c r="F45" s="105"/>
      <c r="G45" s="105"/>
      <c r="H45" s="105"/>
    </row>
    <row r="46" spans="1:9" ht="15.75" customHeight="1">
      <c r="A46" s="70"/>
      <c r="B46" s="104"/>
      <c r="C46" s="105"/>
      <c r="D46" s="109"/>
      <c r="E46" s="105"/>
      <c r="F46" s="105"/>
      <c r="G46" s="105"/>
      <c r="H46" s="105"/>
    </row>
    <row r="47" spans="1:9" ht="15.75" customHeight="1">
      <c r="A47" s="70"/>
      <c r="B47" s="104"/>
      <c r="C47" s="105"/>
      <c r="D47" s="109"/>
      <c r="E47" s="105"/>
      <c r="F47" s="105"/>
      <c r="G47" s="105"/>
      <c r="H47" s="105"/>
    </row>
    <row r="48" spans="1:9" ht="15.75" customHeight="1">
      <c r="A48" s="70"/>
      <c r="B48" s="104"/>
      <c r="C48" s="105"/>
      <c r="D48" s="110"/>
      <c r="E48" s="91"/>
      <c r="F48" s="91"/>
      <c r="G48" s="91"/>
      <c r="H48" s="91"/>
    </row>
    <row r="49" spans="1:9" ht="15.75" customHeight="1">
      <c r="A49" s="70"/>
      <c r="B49" s="104"/>
      <c r="C49" s="105"/>
      <c r="D49" s="108" t="s">
        <v>97</v>
      </c>
      <c r="E49" s="90" t="s">
        <v>83</v>
      </c>
      <c r="F49" s="90" t="s">
        <v>91</v>
      </c>
      <c r="G49" s="90" t="s">
        <v>91</v>
      </c>
      <c r="H49" s="111">
        <v>1</v>
      </c>
      <c r="I49" s="111">
        <v>1</v>
      </c>
    </row>
    <row r="50" spans="1:9" ht="15.75" customHeight="1">
      <c r="A50" s="70"/>
      <c r="B50" s="104"/>
      <c r="C50" s="105"/>
      <c r="D50" s="109"/>
      <c r="E50" s="105"/>
      <c r="F50" s="105"/>
      <c r="G50" s="105"/>
      <c r="H50" s="113"/>
      <c r="I50" s="113"/>
    </row>
    <row r="51" spans="1:9" ht="15.75" customHeight="1">
      <c r="A51" s="70"/>
      <c r="B51" s="104"/>
      <c r="C51" s="105"/>
      <c r="D51" s="110"/>
      <c r="E51" s="91"/>
      <c r="F51" s="91"/>
      <c r="G51" s="91"/>
      <c r="H51" s="112"/>
      <c r="I51" s="112"/>
    </row>
    <row r="52" spans="1:9" ht="15.75" customHeight="1">
      <c r="A52" s="70"/>
      <c r="B52" s="104"/>
      <c r="C52" s="105"/>
      <c r="D52" s="108" t="s">
        <v>98</v>
      </c>
      <c r="E52" s="90" t="s">
        <v>83</v>
      </c>
      <c r="F52" s="90">
        <v>1</v>
      </c>
      <c r="G52" s="90" t="s">
        <v>91</v>
      </c>
      <c r="H52" s="90" t="s">
        <v>91</v>
      </c>
    </row>
    <row r="53" spans="1:9" ht="15.75" customHeight="1">
      <c r="A53" s="70"/>
      <c r="B53" s="104"/>
      <c r="C53" s="105"/>
      <c r="D53" s="109"/>
      <c r="E53" s="105"/>
      <c r="F53" s="105"/>
      <c r="G53" s="105"/>
      <c r="H53" s="105"/>
    </row>
    <row r="54" spans="1:9" ht="15.75" customHeight="1">
      <c r="A54" s="70"/>
      <c r="B54" s="104"/>
      <c r="C54" s="105"/>
      <c r="D54" s="110"/>
      <c r="E54" s="91"/>
      <c r="F54" s="91"/>
      <c r="G54" s="91"/>
      <c r="H54" s="91"/>
    </row>
    <row r="55" spans="1:9" ht="15.75" customHeight="1">
      <c r="A55" s="70"/>
      <c r="B55" s="104"/>
      <c r="C55" s="105"/>
      <c r="D55" s="108" t="s">
        <v>99</v>
      </c>
      <c r="E55" s="90" t="s">
        <v>83</v>
      </c>
      <c r="F55" s="90" t="s">
        <v>91</v>
      </c>
      <c r="G55" s="90" t="s">
        <v>91</v>
      </c>
      <c r="H55" s="111">
        <v>1</v>
      </c>
      <c r="I55" s="111">
        <v>1</v>
      </c>
    </row>
    <row r="56" spans="1:9" ht="15.75" customHeight="1">
      <c r="A56" s="70"/>
      <c r="B56" s="104"/>
      <c r="C56" s="105"/>
      <c r="D56" s="109"/>
      <c r="E56" s="105"/>
      <c r="F56" s="105"/>
      <c r="G56" s="105"/>
      <c r="H56" s="113"/>
      <c r="I56" s="113"/>
    </row>
    <row r="57" spans="1:9" ht="15.75" customHeight="1">
      <c r="A57" s="70"/>
      <c r="B57" s="104"/>
      <c r="C57" s="105"/>
      <c r="D57" s="110"/>
      <c r="E57" s="91"/>
      <c r="F57" s="91"/>
      <c r="G57" s="91"/>
      <c r="H57" s="112"/>
      <c r="I57" s="112"/>
    </row>
    <row r="58" spans="1:9" ht="15.75" customHeight="1">
      <c r="A58" s="72">
        <v>8</v>
      </c>
      <c r="B58" s="88" t="s">
        <v>13</v>
      </c>
      <c r="C58" s="90">
        <v>3</v>
      </c>
      <c r="D58" s="106" t="s">
        <v>100</v>
      </c>
      <c r="E58" s="90" t="s">
        <v>101</v>
      </c>
      <c r="F58" s="90" t="s">
        <v>8</v>
      </c>
      <c r="G58" s="90" t="s">
        <v>8</v>
      </c>
      <c r="H58" s="90" t="s">
        <v>8</v>
      </c>
    </row>
    <row r="59" spans="1:9" ht="15.75" customHeight="1">
      <c r="A59" s="72"/>
      <c r="B59" s="104"/>
      <c r="C59" s="105"/>
      <c r="D59" s="107"/>
      <c r="E59" s="91"/>
      <c r="F59" s="91"/>
      <c r="G59" s="91"/>
      <c r="H59" s="91"/>
    </row>
    <row r="60" spans="1:9" ht="15.75" customHeight="1">
      <c r="A60" s="72"/>
      <c r="B60" s="104"/>
      <c r="C60" s="105"/>
      <c r="D60" s="108" t="s">
        <v>102</v>
      </c>
      <c r="E60" s="90" t="s">
        <v>83</v>
      </c>
      <c r="F60" s="90">
        <v>1</v>
      </c>
      <c r="G60" s="90">
        <v>1</v>
      </c>
      <c r="H60" s="111">
        <v>1</v>
      </c>
      <c r="I60" s="111">
        <v>1</v>
      </c>
    </row>
    <row r="61" spans="1:9" ht="15.75" customHeight="1">
      <c r="A61" s="72"/>
      <c r="B61" s="104"/>
      <c r="C61" s="105"/>
      <c r="D61" s="110"/>
      <c r="E61" s="91"/>
      <c r="F61" s="91"/>
      <c r="G61" s="91"/>
      <c r="H61" s="112"/>
      <c r="I61" s="112"/>
    </row>
    <row r="62" spans="1:9" ht="15.75" customHeight="1">
      <c r="A62" s="72"/>
      <c r="B62" s="104"/>
      <c r="C62" s="105"/>
      <c r="D62" s="108" t="s">
        <v>103</v>
      </c>
      <c r="E62" s="90" t="s">
        <v>104</v>
      </c>
      <c r="F62" s="90">
        <v>30</v>
      </c>
      <c r="G62" s="90">
        <v>30</v>
      </c>
      <c r="H62" s="90" t="s">
        <v>8</v>
      </c>
      <c r="I62" s="25">
        <f>SUM(I12:I61)</f>
        <v>14</v>
      </c>
    </row>
    <row r="63" spans="1:9" ht="15.75" customHeight="1">
      <c r="A63" s="72"/>
      <c r="B63" s="104"/>
      <c r="C63" s="105"/>
      <c r="D63" s="109"/>
      <c r="E63" s="91"/>
      <c r="F63" s="91"/>
      <c r="G63" s="91"/>
      <c r="H63" s="91"/>
    </row>
    <row r="64" spans="1:9">
      <c r="A64" s="86" t="s">
        <v>29</v>
      </c>
      <c r="B64" s="87"/>
      <c r="C64" s="9">
        <f>SUM(C4:C63)</f>
        <v>18</v>
      </c>
      <c r="D64" s="65"/>
      <c r="E64" s="66"/>
      <c r="F64" s="9">
        <f>SUM(F16:F63)</f>
        <v>33</v>
      </c>
      <c r="G64" s="9">
        <f>SUM(G60:G63)</f>
        <v>31</v>
      </c>
      <c r="H64" s="9">
        <f>SUM(H4:H63)</f>
        <v>15</v>
      </c>
    </row>
    <row r="65" spans="1:8" ht="15.75">
      <c r="A65" s="27" t="s">
        <v>105</v>
      </c>
    </row>
    <row r="66" spans="1:8">
      <c r="A66" s="102"/>
      <c r="B66" s="102"/>
      <c r="C66" s="102"/>
      <c r="D66" s="102"/>
      <c r="E66" s="102"/>
      <c r="F66" s="102"/>
      <c r="G66" s="102"/>
      <c r="H66" s="102"/>
    </row>
  </sheetData>
  <mergeCells count="131">
    <mergeCell ref="I49:I51"/>
    <mergeCell ref="I55:I57"/>
    <mergeCell ref="I60:I61"/>
    <mergeCell ref="I12:I13"/>
    <mergeCell ref="I14:I15"/>
    <mergeCell ref="I16:I18"/>
    <mergeCell ref="I19:I21"/>
    <mergeCell ref="I22:I26"/>
    <mergeCell ref="I27:I29"/>
    <mergeCell ref="I34:I36"/>
    <mergeCell ref="I37:I39"/>
    <mergeCell ref="I40:I42"/>
    <mergeCell ref="G60:G61"/>
    <mergeCell ref="G62:G63"/>
    <mergeCell ref="H2:H3"/>
    <mergeCell ref="H4:H5"/>
    <mergeCell ref="H6:H7"/>
    <mergeCell ref="H12:H13"/>
    <mergeCell ref="H14:H15"/>
    <mergeCell ref="H16:H18"/>
    <mergeCell ref="H19:H21"/>
    <mergeCell ref="H22:H26"/>
    <mergeCell ref="H27:H29"/>
    <mergeCell ref="H30:H33"/>
    <mergeCell ref="H34:H36"/>
    <mergeCell ref="H37:H39"/>
    <mergeCell ref="H40:H42"/>
    <mergeCell ref="H43:H48"/>
    <mergeCell ref="H49:H51"/>
    <mergeCell ref="H52:H54"/>
    <mergeCell ref="H55:H57"/>
    <mergeCell ref="H58:H59"/>
    <mergeCell ref="H60:H61"/>
    <mergeCell ref="H62:H63"/>
    <mergeCell ref="G30:G33"/>
    <mergeCell ref="G34:G36"/>
    <mergeCell ref="G37:G39"/>
    <mergeCell ref="G40:G42"/>
    <mergeCell ref="G43:G48"/>
    <mergeCell ref="G49:G51"/>
    <mergeCell ref="G52:G54"/>
    <mergeCell ref="G55:G57"/>
    <mergeCell ref="G58:G59"/>
    <mergeCell ref="G2:G3"/>
    <mergeCell ref="G4:G5"/>
    <mergeCell ref="G6:G7"/>
    <mergeCell ref="G12:G13"/>
    <mergeCell ref="G14:G15"/>
    <mergeCell ref="G16:G18"/>
    <mergeCell ref="G19:G21"/>
    <mergeCell ref="G22:G26"/>
    <mergeCell ref="G27:G29"/>
    <mergeCell ref="E60:E61"/>
    <mergeCell ref="E62:E63"/>
    <mergeCell ref="F2:F3"/>
    <mergeCell ref="F4:F5"/>
    <mergeCell ref="F6:F7"/>
    <mergeCell ref="F12:F13"/>
    <mergeCell ref="F14:F15"/>
    <mergeCell ref="F16:F18"/>
    <mergeCell ref="F19:F21"/>
    <mergeCell ref="F22:F26"/>
    <mergeCell ref="F27:F29"/>
    <mergeCell ref="F30:F33"/>
    <mergeCell ref="F34:F36"/>
    <mergeCell ref="F37:F39"/>
    <mergeCell ref="F40:F42"/>
    <mergeCell ref="F43:F48"/>
    <mergeCell ref="F49:F51"/>
    <mergeCell ref="F52:F54"/>
    <mergeCell ref="F55:F57"/>
    <mergeCell ref="F58:F59"/>
    <mergeCell ref="F60:F61"/>
    <mergeCell ref="F62:F63"/>
    <mergeCell ref="D49:D51"/>
    <mergeCell ref="D52:D54"/>
    <mergeCell ref="D55:D57"/>
    <mergeCell ref="D58:D59"/>
    <mergeCell ref="D60:D61"/>
    <mergeCell ref="D62:D63"/>
    <mergeCell ref="E2:E3"/>
    <mergeCell ref="E4:E5"/>
    <mergeCell ref="E6:E7"/>
    <mergeCell ref="E12:E13"/>
    <mergeCell ref="E14:E15"/>
    <mergeCell ref="E16:E18"/>
    <mergeCell ref="E19:E21"/>
    <mergeCell ref="E22:E26"/>
    <mergeCell ref="E27:E29"/>
    <mergeCell ref="E30:E33"/>
    <mergeCell ref="E34:E36"/>
    <mergeCell ref="E37:E39"/>
    <mergeCell ref="E40:E42"/>
    <mergeCell ref="E43:E48"/>
    <mergeCell ref="E49:E51"/>
    <mergeCell ref="E52:E54"/>
    <mergeCell ref="E55:E57"/>
    <mergeCell ref="E58:E59"/>
    <mergeCell ref="D16:D18"/>
    <mergeCell ref="D19:D21"/>
    <mergeCell ref="D22:D26"/>
    <mergeCell ref="D27:D29"/>
    <mergeCell ref="D30:D33"/>
    <mergeCell ref="D34:D36"/>
    <mergeCell ref="D37:D39"/>
    <mergeCell ref="D40:D42"/>
    <mergeCell ref="D43:D48"/>
    <mergeCell ref="A1:H1"/>
    <mergeCell ref="A64:B64"/>
    <mergeCell ref="D64:E64"/>
    <mergeCell ref="A66:H66"/>
    <mergeCell ref="A2:A3"/>
    <mergeCell ref="A4:A7"/>
    <mergeCell ref="A12:A15"/>
    <mergeCell ref="A16:A57"/>
    <mergeCell ref="A58:A63"/>
    <mergeCell ref="B2:B3"/>
    <mergeCell ref="B4:B7"/>
    <mergeCell ref="B12:B15"/>
    <mergeCell ref="B16:B57"/>
    <mergeCell ref="B58:B63"/>
    <mergeCell ref="C2:C3"/>
    <mergeCell ref="C4:C7"/>
    <mergeCell ref="C12:C15"/>
    <mergeCell ref="C16:C57"/>
    <mergeCell ref="C58:C63"/>
    <mergeCell ref="D2:D3"/>
    <mergeCell ref="D4:D5"/>
    <mergeCell ref="D6:D7"/>
    <mergeCell ref="D12:D13"/>
    <mergeCell ref="D14:D15"/>
  </mergeCells>
  <pageMargins left="0.7" right="0.7" top="0.75" bottom="0.75" header="0.3" footer="0.3"/>
  <pageSetup paperSize="5" scale="54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2"/>
  <sheetViews>
    <sheetView workbookViewId="0">
      <selection activeCell="N9" sqref="N9"/>
    </sheetView>
  </sheetViews>
  <sheetFormatPr defaultColWidth="9" defaultRowHeight="15"/>
  <cols>
    <col min="1" max="1" width="6.42578125" customWidth="1"/>
    <col min="2" max="2" width="18" customWidth="1"/>
    <col min="3" max="3" width="15.7109375" customWidth="1"/>
    <col min="4" max="4" width="36.7109375" customWidth="1"/>
    <col min="5" max="5" width="25.7109375" customWidth="1"/>
    <col min="6" max="6" width="15.140625" customWidth="1"/>
    <col min="7" max="7" width="15.7109375" customWidth="1"/>
    <col min="8" max="8" width="14.28515625" customWidth="1"/>
    <col min="10" max="10" width="5.5703125" customWidth="1"/>
    <col min="11" max="11" width="6.5703125" customWidth="1"/>
    <col min="13" max="13" width="11.7109375" customWidth="1"/>
  </cols>
  <sheetData>
    <row r="1" spans="1:16" ht="24" customHeight="1">
      <c r="A1" s="81" t="s">
        <v>106</v>
      </c>
      <c r="B1" s="82"/>
      <c r="C1" s="82"/>
      <c r="D1" s="82"/>
      <c r="E1" s="82"/>
      <c r="F1" s="82"/>
      <c r="G1" s="82"/>
      <c r="H1" s="82"/>
    </row>
    <row r="2" spans="1:16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76</v>
      </c>
      <c r="G2" s="97" t="s">
        <v>77</v>
      </c>
      <c r="H2" s="97" t="s">
        <v>44</v>
      </c>
      <c r="K2" s="114"/>
      <c r="L2" s="114"/>
      <c r="M2" s="114"/>
      <c r="N2" s="114"/>
      <c r="O2" s="114"/>
      <c r="P2" s="114"/>
    </row>
    <row r="3" spans="1:16" ht="54" customHeight="1">
      <c r="A3" s="68"/>
      <c r="B3" s="72"/>
      <c r="C3" s="68"/>
      <c r="D3" s="93"/>
      <c r="E3" s="79"/>
      <c r="F3" s="68"/>
      <c r="G3" s="98"/>
      <c r="H3" s="98"/>
      <c r="K3" s="121"/>
      <c r="L3" s="123"/>
      <c r="M3" s="121"/>
      <c r="N3" s="124"/>
    </row>
    <row r="4" spans="1:16" ht="15.75" customHeight="1">
      <c r="A4" s="72">
        <v>1</v>
      </c>
      <c r="B4" s="72" t="s">
        <v>7</v>
      </c>
      <c r="C4" s="90">
        <v>5</v>
      </c>
      <c r="D4" s="106" t="s">
        <v>107</v>
      </c>
      <c r="E4" s="117" t="s">
        <v>83</v>
      </c>
      <c r="F4" s="117" t="s">
        <v>8</v>
      </c>
      <c r="G4" s="117" t="s">
        <v>8</v>
      </c>
      <c r="H4" s="122">
        <v>2</v>
      </c>
      <c r="K4" s="121"/>
      <c r="L4" s="123"/>
      <c r="M4" s="121"/>
      <c r="N4" s="124"/>
    </row>
    <row r="5" spans="1:16" ht="15.75" customHeight="1">
      <c r="A5" s="72"/>
      <c r="B5" s="72"/>
      <c r="C5" s="105"/>
      <c r="D5" s="107"/>
      <c r="E5" s="117"/>
      <c r="F5" s="117"/>
      <c r="G5" s="117"/>
      <c r="H5" s="122"/>
      <c r="K5" s="55"/>
      <c r="L5" s="55"/>
      <c r="M5" s="56"/>
      <c r="N5" s="55"/>
    </row>
    <row r="6" spans="1:16" ht="15.75" customHeight="1">
      <c r="A6" s="72"/>
      <c r="B6" s="72"/>
      <c r="C6" s="105"/>
      <c r="D6" s="106" t="s">
        <v>108</v>
      </c>
      <c r="E6" s="90" t="s">
        <v>81</v>
      </c>
      <c r="F6" s="90" t="s">
        <v>8</v>
      </c>
      <c r="G6" s="90" t="s">
        <v>8</v>
      </c>
      <c r="H6" s="90" t="s">
        <v>8</v>
      </c>
      <c r="K6" s="55"/>
      <c r="L6" s="55"/>
      <c r="M6" s="56"/>
      <c r="N6" s="55"/>
    </row>
    <row r="7" spans="1:16" ht="15.75" customHeight="1">
      <c r="A7" s="72"/>
      <c r="B7" s="72"/>
      <c r="C7" s="105"/>
      <c r="D7" s="116"/>
      <c r="E7" s="105"/>
      <c r="F7" s="105"/>
      <c r="G7" s="105"/>
      <c r="H7" s="105"/>
    </row>
    <row r="8" spans="1:16" ht="15.75" customHeight="1">
      <c r="A8" s="72"/>
      <c r="B8" s="72"/>
      <c r="C8" s="105"/>
      <c r="D8" s="107"/>
      <c r="E8" s="91"/>
      <c r="F8" s="91"/>
      <c r="G8" s="91"/>
      <c r="H8" s="91"/>
    </row>
    <row r="9" spans="1:16" ht="15.75" customHeight="1">
      <c r="A9" s="72"/>
      <c r="B9" s="72"/>
      <c r="C9" s="105"/>
      <c r="D9" s="106" t="s">
        <v>109</v>
      </c>
      <c r="E9" s="90" t="s">
        <v>83</v>
      </c>
      <c r="F9" s="90" t="s">
        <v>91</v>
      </c>
      <c r="G9" s="90" t="s">
        <v>91</v>
      </c>
      <c r="H9" s="111">
        <v>1</v>
      </c>
    </row>
    <row r="10" spans="1:16" ht="15.75" customHeight="1">
      <c r="A10" s="72"/>
      <c r="B10" s="72"/>
      <c r="C10" s="105"/>
      <c r="D10" s="116"/>
      <c r="E10" s="105"/>
      <c r="F10" s="105"/>
      <c r="G10" s="105"/>
      <c r="H10" s="113"/>
    </row>
    <row r="11" spans="1:16" ht="15.75" customHeight="1">
      <c r="A11" s="72"/>
      <c r="B11" s="72"/>
      <c r="C11" s="105"/>
      <c r="D11" s="107"/>
      <c r="E11" s="91"/>
      <c r="F11" s="91"/>
      <c r="G11" s="91"/>
      <c r="H11" s="112"/>
    </row>
    <row r="12" spans="1:16" ht="15.75" customHeight="1">
      <c r="A12" s="72"/>
      <c r="B12" s="72"/>
      <c r="C12" s="105"/>
      <c r="D12" s="106" t="s">
        <v>110</v>
      </c>
      <c r="E12" s="90" t="s">
        <v>81</v>
      </c>
      <c r="F12" s="90" t="s">
        <v>8</v>
      </c>
      <c r="G12" s="90" t="s">
        <v>8</v>
      </c>
      <c r="H12" s="90" t="s">
        <v>8</v>
      </c>
    </row>
    <row r="13" spans="1:16" ht="15.75" customHeight="1">
      <c r="A13" s="72"/>
      <c r="B13" s="72"/>
      <c r="C13" s="105"/>
      <c r="D13" s="116"/>
      <c r="E13" s="105"/>
      <c r="F13" s="105"/>
      <c r="G13" s="105"/>
      <c r="H13" s="105"/>
    </row>
    <row r="14" spans="1:16" ht="15.75" customHeight="1">
      <c r="A14" s="72"/>
      <c r="B14" s="72"/>
      <c r="C14" s="105"/>
      <c r="D14" s="107"/>
      <c r="E14" s="91"/>
      <c r="F14" s="91"/>
      <c r="G14" s="91"/>
      <c r="H14" s="91"/>
    </row>
    <row r="15" spans="1:16" ht="15.75" customHeight="1">
      <c r="A15" s="72"/>
      <c r="B15" s="72"/>
      <c r="C15" s="105"/>
      <c r="D15" s="106" t="s">
        <v>111</v>
      </c>
      <c r="E15" s="94" t="s">
        <v>112</v>
      </c>
      <c r="F15" s="90">
        <v>1</v>
      </c>
      <c r="G15" s="90" t="s">
        <v>8</v>
      </c>
      <c r="H15" s="90" t="s">
        <v>8</v>
      </c>
    </row>
    <row r="16" spans="1:16" ht="15.75" customHeight="1">
      <c r="A16" s="72"/>
      <c r="B16" s="72"/>
      <c r="C16" s="91"/>
      <c r="D16" s="107"/>
      <c r="E16" s="95"/>
      <c r="F16" s="91"/>
      <c r="G16" s="91"/>
      <c r="H16" s="91"/>
    </row>
    <row r="17" spans="1:8" ht="15.75" customHeight="1">
      <c r="A17" s="72">
        <v>2</v>
      </c>
      <c r="B17" s="70" t="s">
        <v>27</v>
      </c>
      <c r="C17" s="90">
        <v>1</v>
      </c>
      <c r="D17" s="106" t="s">
        <v>113</v>
      </c>
      <c r="E17" s="90" t="s">
        <v>15</v>
      </c>
      <c r="F17" s="90" t="s">
        <v>8</v>
      </c>
      <c r="G17" s="90" t="s">
        <v>8</v>
      </c>
      <c r="H17" s="90" t="s">
        <v>8</v>
      </c>
    </row>
    <row r="18" spans="1:8" ht="15.75" customHeight="1">
      <c r="A18" s="72"/>
      <c r="B18" s="70"/>
      <c r="C18" s="105"/>
      <c r="D18" s="116"/>
      <c r="E18" s="105"/>
      <c r="F18" s="105"/>
      <c r="G18" s="105"/>
      <c r="H18" s="105"/>
    </row>
    <row r="19" spans="1:8" ht="15.75" customHeight="1">
      <c r="A19" s="72"/>
      <c r="B19" s="70"/>
      <c r="C19" s="91"/>
      <c r="D19" s="107"/>
      <c r="E19" s="91"/>
      <c r="F19" s="91"/>
      <c r="G19" s="91"/>
      <c r="H19" s="91"/>
    </row>
    <row r="20" spans="1:8" ht="15.75" customHeight="1">
      <c r="A20" s="69">
        <v>3</v>
      </c>
      <c r="B20" s="69" t="s">
        <v>23</v>
      </c>
      <c r="C20" s="90">
        <v>1</v>
      </c>
      <c r="D20" s="106" t="s">
        <v>114</v>
      </c>
      <c r="E20" s="90" t="s">
        <v>83</v>
      </c>
      <c r="F20" s="90" t="s">
        <v>8</v>
      </c>
      <c r="G20" s="90">
        <v>1</v>
      </c>
      <c r="H20" s="111">
        <v>1</v>
      </c>
    </row>
    <row r="21" spans="1:8" ht="15.75" customHeight="1">
      <c r="A21" s="70"/>
      <c r="B21" s="70"/>
      <c r="C21" s="91"/>
      <c r="D21" s="107"/>
      <c r="E21" s="91"/>
      <c r="F21" s="91"/>
      <c r="G21" s="91"/>
      <c r="H21" s="112"/>
    </row>
    <row r="22" spans="1:8" ht="15.75" customHeight="1">
      <c r="A22" s="69">
        <v>4</v>
      </c>
      <c r="B22" s="69" t="s">
        <v>19</v>
      </c>
      <c r="C22" s="90">
        <v>3</v>
      </c>
      <c r="D22" s="106" t="s">
        <v>115</v>
      </c>
      <c r="E22" s="90" t="s">
        <v>81</v>
      </c>
      <c r="F22" s="90" t="s">
        <v>8</v>
      </c>
      <c r="G22" s="90" t="s">
        <v>8</v>
      </c>
      <c r="H22" s="90" t="s">
        <v>8</v>
      </c>
    </row>
    <row r="23" spans="1:8" ht="15.75" customHeight="1">
      <c r="A23" s="70"/>
      <c r="B23" s="70"/>
      <c r="C23" s="105"/>
      <c r="D23" s="116"/>
      <c r="E23" s="105"/>
      <c r="F23" s="105"/>
      <c r="G23" s="105"/>
      <c r="H23" s="105"/>
    </row>
    <row r="24" spans="1:8" ht="15.75" customHeight="1">
      <c r="A24" s="70"/>
      <c r="B24" s="70"/>
      <c r="C24" s="105"/>
      <c r="D24" s="107"/>
      <c r="E24" s="91"/>
      <c r="F24" s="91"/>
      <c r="G24" s="91"/>
      <c r="H24" s="91"/>
    </row>
    <row r="25" spans="1:8" ht="15.75" customHeight="1">
      <c r="A25" s="70"/>
      <c r="B25" s="70"/>
      <c r="C25" s="105"/>
      <c r="D25" s="106" t="s">
        <v>116</v>
      </c>
      <c r="E25" s="90" t="s">
        <v>117</v>
      </c>
      <c r="F25" s="90" t="s">
        <v>8</v>
      </c>
      <c r="G25" s="90" t="s">
        <v>8</v>
      </c>
      <c r="H25" s="90" t="s">
        <v>8</v>
      </c>
    </row>
    <row r="26" spans="1:8" ht="15.75" customHeight="1">
      <c r="A26" s="70"/>
      <c r="B26" s="70"/>
      <c r="C26" s="105"/>
      <c r="D26" s="107"/>
      <c r="E26" s="91"/>
      <c r="F26" s="91"/>
      <c r="G26" s="91"/>
      <c r="H26" s="91"/>
    </row>
    <row r="27" spans="1:8" ht="15.75">
      <c r="A27" s="70"/>
      <c r="B27" s="70"/>
      <c r="C27" s="91"/>
      <c r="D27" s="6" t="s">
        <v>118</v>
      </c>
      <c r="E27" s="8" t="s">
        <v>104</v>
      </c>
      <c r="F27" s="8">
        <v>1</v>
      </c>
      <c r="G27" s="8">
        <v>1</v>
      </c>
      <c r="H27" s="8">
        <v>1</v>
      </c>
    </row>
    <row r="28" spans="1:8" ht="15.75">
      <c r="A28" s="1">
        <v>5</v>
      </c>
      <c r="B28" s="2" t="s">
        <v>12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</row>
    <row r="29" spans="1:8" ht="15.75" customHeight="1">
      <c r="A29" s="72">
        <v>6</v>
      </c>
      <c r="B29" s="69" t="s">
        <v>24</v>
      </c>
      <c r="C29" s="90">
        <v>1</v>
      </c>
      <c r="D29" s="106" t="s">
        <v>119</v>
      </c>
      <c r="E29" s="90" t="s">
        <v>83</v>
      </c>
      <c r="F29" s="90" t="s">
        <v>8</v>
      </c>
      <c r="G29" s="90" t="s">
        <v>8</v>
      </c>
      <c r="H29" s="111">
        <v>1</v>
      </c>
    </row>
    <row r="30" spans="1:8" ht="15.75" customHeight="1">
      <c r="A30" s="72"/>
      <c r="B30" s="70"/>
      <c r="C30" s="91"/>
      <c r="D30" s="107"/>
      <c r="E30" s="91"/>
      <c r="F30" s="91"/>
      <c r="G30" s="91"/>
      <c r="H30" s="112"/>
    </row>
    <row r="31" spans="1:8" ht="15.75" customHeight="1">
      <c r="A31" s="72">
        <v>7</v>
      </c>
      <c r="B31" s="72" t="s">
        <v>9</v>
      </c>
      <c r="C31" s="90">
        <v>15</v>
      </c>
      <c r="D31" s="106" t="s">
        <v>120</v>
      </c>
      <c r="E31" s="90" t="s">
        <v>83</v>
      </c>
      <c r="F31" s="90" t="s">
        <v>8</v>
      </c>
      <c r="G31" s="90" t="s">
        <v>8</v>
      </c>
      <c r="H31" s="111">
        <v>1</v>
      </c>
    </row>
    <row r="32" spans="1:8" ht="15.75" customHeight="1">
      <c r="A32" s="72"/>
      <c r="B32" s="72"/>
      <c r="C32" s="105"/>
      <c r="D32" s="116"/>
      <c r="E32" s="105"/>
      <c r="F32" s="105"/>
      <c r="G32" s="105"/>
      <c r="H32" s="113"/>
    </row>
    <row r="33" spans="1:8" ht="15.75" customHeight="1">
      <c r="A33" s="72"/>
      <c r="B33" s="72"/>
      <c r="C33" s="105"/>
      <c r="D33" s="107"/>
      <c r="E33" s="91"/>
      <c r="F33" s="91"/>
      <c r="G33" s="91"/>
      <c r="H33" s="112"/>
    </row>
    <row r="34" spans="1:8" ht="15.75" customHeight="1">
      <c r="A34" s="72"/>
      <c r="B34" s="72"/>
      <c r="C34" s="105"/>
      <c r="D34" s="106" t="s">
        <v>121</v>
      </c>
      <c r="E34" s="118" t="s">
        <v>122</v>
      </c>
      <c r="F34" s="117" t="s">
        <v>8</v>
      </c>
      <c r="G34" s="117" t="s">
        <v>8</v>
      </c>
      <c r="H34" s="117" t="s">
        <v>8</v>
      </c>
    </row>
    <row r="35" spans="1:8" ht="15.75" customHeight="1">
      <c r="A35" s="72"/>
      <c r="B35" s="72"/>
      <c r="C35" s="105"/>
      <c r="D35" s="116"/>
      <c r="E35" s="119"/>
      <c r="F35" s="117"/>
      <c r="G35" s="117"/>
      <c r="H35" s="117"/>
    </row>
    <row r="36" spans="1:8" ht="15.75" customHeight="1">
      <c r="A36" s="72"/>
      <c r="B36" s="72"/>
      <c r="C36" s="105"/>
      <c r="D36" s="116"/>
      <c r="E36" s="119"/>
      <c r="F36" s="117"/>
      <c r="G36" s="117"/>
      <c r="H36" s="117"/>
    </row>
    <row r="37" spans="1:8" ht="15.75" customHeight="1">
      <c r="A37" s="72"/>
      <c r="B37" s="72"/>
      <c r="C37" s="105"/>
      <c r="D37" s="107"/>
      <c r="E37" s="120"/>
      <c r="F37" s="117"/>
      <c r="G37" s="117"/>
      <c r="H37" s="117"/>
    </row>
    <row r="38" spans="1:8" ht="15.75" customHeight="1">
      <c r="A38" s="72"/>
      <c r="B38" s="72"/>
      <c r="C38" s="105"/>
      <c r="D38" s="108" t="s">
        <v>123</v>
      </c>
      <c r="E38" s="90" t="s">
        <v>83</v>
      </c>
      <c r="F38" s="90" t="s">
        <v>8</v>
      </c>
      <c r="G38" s="90" t="s">
        <v>8</v>
      </c>
      <c r="H38" s="111">
        <v>1</v>
      </c>
    </row>
    <row r="39" spans="1:8" ht="15.75" customHeight="1">
      <c r="A39" s="72"/>
      <c r="B39" s="72"/>
      <c r="C39" s="105"/>
      <c r="D39" s="109"/>
      <c r="E39" s="105"/>
      <c r="F39" s="105"/>
      <c r="G39" s="105"/>
      <c r="H39" s="113"/>
    </row>
    <row r="40" spans="1:8" ht="15.75" customHeight="1">
      <c r="A40" s="72"/>
      <c r="B40" s="72"/>
      <c r="C40" s="105"/>
      <c r="D40" s="109"/>
      <c r="E40" s="105"/>
      <c r="F40" s="105"/>
      <c r="G40" s="105"/>
      <c r="H40" s="113"/>
    </row>
    <row r="41" spans="1:8" ht="15.75" customHeight="1">
      <c r="A41" s="72"/>
      <c r="B41" s="72"/>
      <c r="C41" s="105"/>
      <c r="D41" s="110"/>
      <c r="E41" s="91"/>
      <c r="F41" s="91"/>
      <c r="G41" s="91"/>
      <c r="H41" s="112"/>
    </row>
    <row r="42" spans="1:8" ht="15.75" customHeight="1">
      <c r="A42" s="72"/>
      <c r="B42" s="72"/>
      <c r="C42" s="105"/>
      <c r="D42" s="106" t="s">
        <v>124</v>
      </c>
      <c r="E42" s="90" t="s">
        <v>83</v>
      </c>
      <c r="F42" s="90" t="s">
        <v>8</v>
      </c>
      <c r="G42" s="90" t="s">
        <v>8</v>
      </c>
      <c r="H42" s="111">
        <v>1</v>
      </c>
    </row>
    <row r="43" spans="1:8" ht="15.75" customHeight="1">
      <c r="A43" s="72"/>
      <c r="B43" s="72"/>
      <c r="C43" s="105"/>
      <c r="D43" s="116"/>
      <c r="E43" s="105"/>
      <c r="F43" s="105"/>
      <c r="G43" s="105"/>
      <c r="H43" s="113"/>
    </row>
    <row r="44" spans="1:8" ht="15.75" customHeight="1">
      <c r="A44" s="72"/>
      <c r="B44" s="72"/>
      <c r="C44" s="105"/>
      <c r="D44" s="116"/>
      <c r="E44" s="105"/>
      <c r="F44" s="105"/>
      <c r="G44" s="105"/>
      <c r="H44" s="113"/>
    </row>
    <row r="45" spans="1:8" ht="15.75" customHeight="1">
      <c r="A45" s="72"/>
      <c r="B45" s="72"/>
      <c r="C45" s="105"/>
      <c r="D45" s="107"/>
      <c r="E45" s="91"/>
      <c r="F45" s="91"/>
      <c r="G45" s="91"/>
      <c r="H45" s="112"/>
    </row>
    <row r="46" spans="1:8" ht="15.75" customHeight="1">
      <c r="A46" s="72"/>
      <c r="B46" s="72"/>
      <c r="C46" s="105"/>
      <c r="D46" s="106" t="s">
        <v>125</v>
      </c>
      <c r="E46" s="90" t="s">
        <v>83</v>
      </c>
      <c r="F46" s="90" t="s">
        <v>8</v>
      </c>
      <c r="G46" s="90" t="s">
        <v>8</v>
      </c>
      <c r="H46" s="111">
        <v>1</v>
      </c>
    </row>
    <row r="47" spans="1:8" ht="15.75" customHeight="1">
      <c r="A47" s="72"/>
      <c r="B47" s="72"/>
      <c r="C47" s="105"/>
      <c r="D47" s="116"/>
      <c r="E47" s="105"/>
      <c r="F47" s="105"/>
      <c r="G47" s="105"/>
      <c r="H47" s="113"/>
    </row>
    <row r="48" spans="1:8" ht="15.75" customHeight="1">
      <c r="A48" s="72"/>
      <c r="B48" s="72"/>
      <c r="C48" s="105"/>
      <c r="D48" s="116"/>
      <c r="E48" s="105"/>
      <c r="F48" s="105"/>
      <c r="G48" s="105"/>
      <c r="H48" s="113"/>
    </row>
    <row r="49" spans="1:8" ht="15.75" customHeight="1">
      <c r="A49" s="72"/>
      <c r="B49" s="72"/>
      <c r="C49" s="105"/>
      <c r="D49" s="107"/>
      <c r="E49" s="91"/>
      <c r="F49" s="91"/>
      <c r="G49" s="91"/>
      <c r="H49" s="112"/>
    </row>
    <row r="50" spans="1:8" ht="15.75" customHeight="1">
      <c r="A50" s="72"/>
      <c r="B50" s="72"/>
      <c r="C50" s="105"/>
      <c r="D50" s="106" t="s">
        <v>126</v>
      </c>
      <c r="E50" s="90" t="s">
        <v>83</v>
      </c>
      <c r="F50" s="90" t="s">
        <v>8</v>
      </c>
      <c r="G50" s="90" t="s">
        <v>8</v>
      </c>
      <c r="H50" s="111">
        <v>1</v>
      </c>
    </row>
    <row r="51" spans="1:8" ht="15.75" customHeight="1">
      <c r="A51" s="72"/>
      <c r="B51" s="72"/>
      <c r="C51" s="105"/>
      <c r="D51" s="116"/>
      <c r="E51" s="105"/>
      <c r="F51" s="105"/>
      <c r="G51" s="105"/>
      <c r="H51" s="113"/>
    </row>
    <row r="52" spans="1:8" ht="15.75" customHeight="1">
      <c r="A52" s="72"/>
      <c r="B52" s="72"/>
      <c r="C52" s="105"/>
      <c r="D52" s="107"/>
      <c r="E52" s="91"/>
      <c r="F52" s="91"/>
      <c r="G52" s="91"/>
      <c r="H52" s="112"/>
    </row>
    <row r="53" spans="1:8" ht="47.25">
      <c r="A53" s="72"/>
      <c r="B53" s="72"/>
      <c r="C53" s="105"/>
      <c r="D53" s="36" t="s">
        <v>127</v>
      </c>
      <c r="E53" s="7" t="s">
        <v>83</v>
      </c>
      <c r="F53" s="7" t="s">
        <v>8</v>
      </c>
      <c r="G53" s="7" t="s">
        <v>8</v>
      </c>
      <c r="H53" s="37">
        <v>1</v>
      </c>
    </row>
    <row r="54" spans="1:8" ht="47.25">
      <c r="A54" s="72"/>
      <c r="B54" s="72"/>
      <c r="C54" s="91"/>
      <c r="D54" s="36" t="s">
        <v>128</v>
      </c>
      <c r="E54" s="7" t="s">
        <v>83</v>
      </c>
      <c r="F54" s="7" t="s">
        <v>8</v>
      </c>
      <c r="G54" s="7" t="s">
        <v>8</v>
      </c>
      <c r="H54" s="37">
        <v>2</v>
      </c>
    </row>
    <row r="55" spans="1:8" ht="31.5">
      <c r="A55" s="69">
        <v>8</v>
      </c>
      <c r="B55" s="70" t="s">
        <v>13</v>
      </c>
      <c r="C55" s="90">
        <v>5</v>
      </c>
      <c r="D55" s="36" t="s">
        <v>129</v>
      </c>
      <c r="E55" s="7" t="s">
        <v>83</v>
      </c>
      <c r="F55" s="7">
        <v>1</v>
      </c>
      <c r="G55" s="7">
        <v>1</v>
      </c>
      <c r="H55" s="37">
        <v>1</v>
      </c>
    </row>
    <row r="56" spans="1:8" ht="31.5">
      <c r="A56" s="70"/>
      <c r="B56" s="70"/>
      <c r="C56" s="105"/>
      <c r="D56" s="36" t="s">
        <v>130</v>
      </c>
      <c r="E56" s="7" t="s">
        <v>104</v>
      </c>
      <c r="F56" s="7">
        <v>8</v>
      </c>
      <c r="G56" s="7">
        <v>1</v>
      </c>
      <c r="H56" s="7">
        <v>7</v>
      </c>
    </row>
    <row r="57" spans="1:8" ht="31.5">
      <c r="A57" s="70"/>
      <c r="B57" s="70"/>
      <c r="C57" s="105"/>
      <c r="D57" s="36" t="s">
        <v>131</v>
      </c>
      <c r="E57" s="7" t="s">
        <v>83</v>
      </c>
      <c r="F57" s="7">
        <v>1</v>
      </c>
      <c r="G57" s="7">
        <v>1</v>
      </c>
      <c r="H57" s="37">
        <v>1</v>
      </c>
    </row>
    <row r="58" spans="1:8" ht="31.5">
      <c r="A58" s="70"/>
      <c r="B58" s="70"/>
      <c r="C58" s="105"/>
      <c r="D58" s="36" t="s">
        <v>132</v>
      </c>
      <c r="E58" s="5" t="s">
        <v>101</v>
      </c>
      <c r="F58" s="7" t="s">
        <v>8</v>
      </c>
      <c r="G58" s="7" t="s">
        <v>8</v>
      </c>
      <c r="H58" s="7" t="s">
        <v>8</v>
      </c>
    </row>
    <row r="59" spans="1:8" ht="31.5">
      <c r="A59" s="70"/>
      <c r="B59" s="70"/>
      <c r="C59" s="91"/>
      <c r="D59" s="36" t="s">
        <v>133</v>
      </c>
      <c r="E59" s="26" t="s">
        <v>104</v>
      </c>
      <c r="F59" s="7">
        <v>1</v>
      </c>
      <c r="G59" s="7">
        <v>1</v>
      </c>
      <c r="H59" s="7">
        <v>1</v>
      </c>
    </row>
    <row r="60" spans="1:8">
      <c r="A60" s="86" t="s">
        <v>29</v>
      </c>
      <c r="B60" s="87"/>
      <c r="C60" s="9">
        <f>SUM(C4:C59)</f>
        <v>31</v>
      </c>
      <c r="D60" s="65"/>
      <c r="E60" s="66"/>
      <c r="F60" s="9">
        <f>SUM(F15:F59)</f>
        <v>13</v>
      </c>
      <c r="G60" s="9">
        <f>SUM(G20:G59)</f>
        <v>6</v>
      </c>
      <c r="H60" s="9">
        <f>SUM(H4:H59)</f>
        <v>24</v>
      </c>
    </row>
    <row r="61" spans="1:8" ht="15.75">
      <c r="A61" s="27" t="s">
        <v>105</v>
      </c>
      <c r="B61" s="25"/>
      <c r="C61" s="25"/>
      <c r="D61" s="25"/>
      <c r="E61" s="25"/>
      <c r="F61" s="25"/>
      <c r="G61" s="25"/>
      <c r="H61" s="25"/>
    </row>
    <row r="62" spans="1:8">
      <c r="A62" s="115"/>
      <c r="B62" s="115"/>
      <c r="C62" s="115"/>
      <c r="D62" s="115"/>
      <c r="E62" s="115"/>
      <c r="F62" s="115"/>
      <c r="G62" s="115"/>
      <c r="H62" s="115"/>
    </row>
  </sheetData>
  <mergeCells count="118">
    <mergeCell ref="L3:L4"/>
    <mergeCell ref="M3:M4"/>
    <mergeCell ref="N3:N4"/>
    <mergeCell ref="H25:H26"/>
    <mergeCell ref="H29:H30"/>
    <mergeCell ref="H31:H33"/>
    <mergeCell ref="H34:H37"/>
    <mergeCell ref="H38:H41"/>
    <mergeCell ref="H42:H45"/>
    <mergeCell ref="H46:H49"/>
    <mergeCell ref="H50:H52"/>
    <mergeCell ref="K3:K4"/>
    <mergeCell ref="H2:H3"/>
    <mergeCell ref="H4:H5"/>
    <mergeCell ref="H6:H8"/>
    <mergeCell ref="H9:H11"/>
    <mergeCell ref="H12:H14"/>
    <mergeCell ref="H15:H16"/>
    <mergeCell ref="H17:H19"/>
    <mergeCell ref="H20:H21"/>
    <mergeCell ref="H22:H24"/>
    <mergeCell ref="F50:F52"/>
    <mergeCell ref="G2:G3"/>
    <mergeCell ref="G4:G5"/>
    <mergeCell ref="G6:G8"/>
    <mergeCell ref="G9:G11"/>
    <mergeCell ref="G12:G14"/>
    <mergeCell ref="G15:G16"/>
    <mergeCell ref="G17:G19"/>
    <mergeCell ref="G20:G21"/>
    <mergeCell ref="G22:G24"/>
    <mergeCell ref="G25:G26"/>
    <mergeCell ref="G29:G30"/>
    <mergeCell ref="G31:G33"/>
    <mergeCell ref="G34:G37"/>
    <mergeCell ref="G38:G41"/>
    <mergeCell ref="G42:G45"/>
    <mergeCell ref="G46:G49"/>
    <mergeCell ref="G50:G52"/>
    <mergeCell ref="E25:E26"/>
    <mergeCell ref="E29:E30"/>
    <mergeCell ref="E31:E33"/>
    <mergeCell ref="E34:E37"/>
    <mergeCell ref="E38:E41"/>
    <mergeCell ref="E42:E45"/>
    <mergeCell ref="E46:E49"/>
    <mergeCell ref="E50:E52"/>
    <mergeCell ref="F2:F3"/>
    <mergeCell ref="F4:F5"/>
    <mergeCell ref="F6:F8"/>
    <mergeCell ref="F9:F11"/>
    <mergeCell ref="F12:F14"/>
    <mergeCell ref="F15:F16"/>
    <mergeCell ref="F17:F19"/>
    <mergeCell ref="F20:F21"/>
    <mergeCell ref="F22:F24"/>
    <mergeCell ref="F25:F26"/>
    <mergeCell ref="F29:F30"/>
    <mergeCell ref="F31:F33"/>
    <mergeCell ref="F34:F37"/>
    <mergeCell ref="F38:F41"/>
    <mergeCell ref="F42:F45"/>
    <mergeCell ref="F46:F49"/>
    <mergeCell ref="E2:E3"/>
    <mergeCell ref="E4:E5"/>
    <mergeCell ref="E6:E8"/>
    <mergeCell ref="E9:E11"/>
    <mergeCell ref="E12:E14"/>
    <mergeCell ref="E15:E16"/>
    <mergeCell ref="E17:E19"/>
    <mergeCell ref="E20:E21"/>
    <mergeCell ref="E22:E24"/>
    <mergeCell ref="C20:C21"/>
    <mergeCell ref="C22:C27"/>
    <mergeCell ref="C29:C30"/>
    <mergeCell ref="C31:C54"/>
    <mergeCell ref="C55:C59"/>
    <mergeCell ref="D2:D3"/>
    <mergeCell ref="D4:D5"/>
    <mergeCell ref="D6:D8"/>
    <mergeCell ref="D9:D11"/>
    <mergeCell ref="D12:D14"/>
    <mergeCell ref="D15:D16"/>
    <mergeCell ref="D17:D19"/>
    <mergeCell ref="D20:D21"/>
    <mergeCell ref="D22:D24"/>
    <mergeCell ref="D25:D26"/>
    <mergeCell ref="D29:D30"/>
    <mergeCell ref="D31:D33"/>
    <mergeCell ref="D34:D37"/>
    <mergeCell ref="D38:D41"/>
    <mergeCell ref="D42:D45"/>
    <mergeCell ref="D46:D49"/>
    <mergeCell ref="D50:D52"/>
    <mergeCell ref="A1:H1"/>
    <mergeCell ref="K2:P2"/>
    <mergeCell ref="A60:B60"/>
    <mergeCell ref="D60:E60"/>
    <mergeCell ref="A62:H62"/>
    <mergeCell ref="A2:A3"/>
    <mergeCell ref="A4:A16"/>
    <mergeCell ref="A17:A19"/>
    <mergeCell ref="A20:A21"/>
    <mergeCell ref="A22:A27"/>
    <mergeCell ref="A29:A30"/>
    <mergeCell ref="A31:A54"/>
    <mergeCell ref="A55:A59"/>
    <mergeCell ref="B2:B3"/>
    <mergeCell ref="B4:B16"/>
    <mergeCell ref="B17:B19"/>
    <mergeCell ref="B20:B21"/>
    <mergeCell ref="B22:B27"/>
    <mergeCell ref="B29:B30"/>
    <mergeCell ref="B31:B54"/>
    <mergeCell ref="B55:B59"/>
    <mergeCell ref="C2:C3"/>
    <mergeCell ref="C4:C16"/>
    <mergeCell ref="C17:C19"/>
  </mergeCells>
  <pageMargins left="0.7" right="0.7" top="0.75" bottom="0.75" header="0.3" footer="0.3"/>
  <pageSetup paperSize="5" scale="54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>
      <selection activeCell="J12" sqref="J12"/>
    </sheetView>
  </sheetViews>
  <sheetFormatPr defaultColWidth="9.140625" defaultRowHeight="15"/>
  <cols>
    <col min="1" max="1" width="5.7109375" style="25" customWidth="1"/>
    <col min="2" max="2" width="18.140625" style="25" customWidth="1"/>
    <col min="3" max="3" width="15.85546875" style="25" customWidth="1"/>
    <col min="4" max="4" width="28" style="25" customWidth="1"/>
    <col min="5" max="5" width="21.140625" style="25" customWidth="1"/>
    <col min="6" max="6" width="16.42578125" style="25" customWidth="1"/>
    <col min="7" max="7" width="20" style="25" customWidth="1"/>
    <col min="8" max="16384" width="9.140625" style="25"/>
  </cols>
  <sheetData>
    <row r="1" spans="1:7" ht="30.75" customHeight="1">
      <c r="A1" s="79" t="s">
        <v>222</v>
      </c>
      <c r="B1" s="79"/>
      <c r="C1" s="79"/>
      <c r="D1" s="79"/>
      <c r="E1" s="79"/>
      <c r="F1" s="79"/>
      <c r="G1" s="79"/>
    </row>
    <row r="2" spans="1:7" ht="15.75" customHeight="1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134</v>
      </c>
      <c r="G2" s="97" t="s">
        <v>135</v>
      </c>
    </row>
    <row r="3" spans="1:7" ht="57.75" customHeight="1">
      <c r="A3" s="68"/>
      <c r="B3" s="72"/>
      <c r="C3" s="68"/>
      <c r="D3" s="93"/>
      <c r="E3" s="79"/>
      <c r="F3" s="68"/>
      <c r="G3" s="98"/>
    </row>
    <row r="4" spans="1:7" ht="15.75">
      <c r="A4" s="22">
        <v>1</v>
      </c>
      <c r="B4" s="22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15.75">
      <c r="A5" s="22">
        <v>2</v>
      </c>
      <c r="B5" s="22" t="s">
        <v>9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</row>
    <row r="6" spans="1:7" ht="15.75">
      <c r="A6" s="22">
        <v>3</v>
      </c>
      <c r="B6" s="22" t="s">
        <v>11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ht="15.75">
      <c r="A7" s="22">
        <v>4</v>
      </c>
      <c r="B7" s="22" t="s">
        <v>7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</row>
    <row r="8" spans="1:7" ht="15.75">
      <c r="A8" s="22">
        <v>5</v>
      </c>
      <c r="B8" s="22" t="s">
        <v>21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5.75">
      <c r="A9" s="22">
        <v>6</v>
      </c>
      <c r="B9" s="22" t="s">
        <v>19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ht="15.75">
      <c r="A10" s="22">
        <v>7</v>
      </c>
      <c r="B10" s="22" t="s">
        <v>24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ht="15.75">
      <c r="A11" s="22">
        <v>8</v>
      </c>
      <c r="B11" s="22" t="s">
        <v>136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7" ht="15.75">
      <c r="A12" s="22">
        <v>9</v>
      </c>
      <c r="B12" s="22" t="s">
        <v>17</v>
      </c>
      <c r="C12" s="8">
        <v>2</v>
      </c>
      <c r="D12" s="6" t="s">
        <v>137</v>
      </c>
      <c r="E12" s="8" t="s">
        <v>138</v>
      </c>
      <c r="F12" s="8">
        <v>3.2</v>
      </c>
      <c r="G12" s="8" t="s">
        <v>139</v>
      </c>
    </row>
    <row r="13" spans="1:7" ht="15.75">
      <c r="A13" s="22">
        <v>10</v>
      </c>
      <c r="B13" s="22" t="s">
        <v>28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7" ht="15.75">
      <c r="A14" s="22">
        <v>11</v>
      </c>
      <c r="B14" s="22" t="s">
        <v>27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ht="15.75">
      <c r="A15" s="22">
        <v>12</v>
      </c>
      <c r="B15" s="22" t="s">
        <v>18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</row>
    <row r="16" spans="1:7" ht="15.75">
      <c r="A16" s="22">
        <v>13</v>
      </c>
      <c r="B16" s="22" t="s">
        <v>16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</row>
    <row r="17" spans="1:7" ht="15.75">
      <c r="A17" s="22">
        <v>14</v>
      </c>
      <c r="B17" s="22" t="s">
        <v>12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ht="15.75">
      <c r="A18" s="22">
        <v>15</v>
      </c>
      <c r="B18" s="22" t="s">
        <v>13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ht="15.75">
      <c r="A19" s="22">
        <v>16</v>
      </c>
      <c r="B19" s="22" t="s">
        <v>23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</row>
    <row r="20" spans="1:7" ht="15.75">
      <c r="A20" s="86" t="s">
        <v>29</v>
      </c>
      <c r="B20" s="87"/>
      <c r="C20" s="33">
        <v>2</v>
      </c>
      <c r="D20" s="65"/>
      <c r="E20" s="66"/>
      <c r="F20" s="33">
        <v>3.2</v>
      </c>
      <c r="G20" s="11" t="s">
        <v>139</v>
      </c>
    </row>
    <row r="21" spans="1:7" ht="15.75">
      <c r="A21" s="27" t="s">
        <v>140</v>
      </c>
    </row>
  </sheetData>
  <mergeCells count="10">
    <mergeCell ref="A1:G1"/>
    <mergeCell ref="A20:B20"/>
    <mergeCell ref="D20:E20"/>
    <mergeCell ref="A2:A3"/>
    <mergeCell ref="B2:B3"/>
    <mergeCell ref="C2:C3"/>
    <mergeCell ref="D2:D3"/>
    <mergeCell ref="E2:E3"/>
    <mergeCell ref="F2:F3"/>
    <mergeCell ref="G2:G3"/>
  </mergeCells>
  <pageMargins left="0.42" right="0.28000000000000003" top="0.75" bottom="0.75" header="0.3" footer="0.3"/>
  <pageSetup paperSize="5" scale="54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tabSelected="1" workbookViewId="0">
      <selection activeCell="I9" sqref="I9"/>
    </sheetView>
  </sheetViews>
  <sheetFormatPr defaultColWidth="9.140625" defaultRowHeight="15"/>
  <cols>
    <col min="1" max="1" width="5.7109375" style="25" customWidth="1"/>
    <col min="2" max="2" width="18.140625" style="25" customWidth="1"/>
    <col min="3" max="3" width="15.85546875" style="25" customWidth="1"/>
    <col min="4" max="4" width="28" style="25" customWidth="1"/>
    <col min="5" max="5" width="21.140625" style="25" customWidth="1"/>
    <col min="6" max="6" width="16.42578125" style="25" customWidth="1"/>
    <col min="7" max="7" width="20" style="25" customWidth="1"/>
    <col min="8" max="16384" width="9.140625" style="25"/>
  </cols>
  <sheetData>
    <row r="1" spans="1:7" ht="30.75" customHeight="1">
      <c r="A1" s="79" t="s">
        <v>223</v>
      </c>
      <c r="B1" s="79"/>
      <c r="C1" s="79"/>
      <c r="D1" s="79"/>
      <c r="E1" s="79"/>
      <c r="F1" s="79"/>
      <c r="G1" s="79"/>
    </row>
    <row r="2" spans="1:7" ht="15.75" customHeight="1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134</v>
      </c>
      <c r="G2" s="97" t="s">
        <v>135</v>
      </c>
    </row>
    <row r="3" spans="1:7" ht="57.75" customHeight="1">
      <c r="A3" s="68"/>
      <c r="B3" s="72"/>
      <c r="C3" s="68"/>
      <c r="D3" s="93"/>
      <c r="E3" s="79"/>
      <c r="F3" s="68"/>
      <c r="G3" s="98"/>
    </row>
    <row r="4" spans="1:7" ht="15.75">
      <c r="A4" s="22">
        <v>1</v>
      </c>
      <c r="B4" s="22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15.75">
      <c r="A5" s="22">
        <v>2</v>
      </c>
      <c r="B5" s="22" t="s">
        <v>9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</row>
    <row r="6" spans="1:7" ht="15.75">
      <c r="A6" s="22">
        <v>3</v>
      </c>
      <c r="B6" s="22" t="s">
        <v>11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ht="15.75">
      <c r="A7" s="22">
        <v>4</v>
      </c>
      <c r="B7" s="22" t="s">
        <v>7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</row>
    <row r="8" spans="1:7" ht="15.75">
      <c r="A8" s="22">
        <v>5</v>
      </c>
      <c r="B8" s="22" t="s">
        <v>21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5.75">
      <c r="A9" s="22">
        <v>6</v>
      </c>
      <c r="B9" s="22" t="s">
        <v>19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ht="15.75">
      <c r="A10" s="22">
        <v>7</v>
      </c>
      <c r="B10" s="22" t="s">
        <v>24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ht="15.75">
      <c r="A11" s="22">
        <v>8</v>
      </c>
      <c r="B11" s="22" t="s">
        <v>136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7" ht="15.75">
      <c r="A12" s="22">
        <v>9</v>
      </c>
      <c r="B12" s="22" t="s">
        <v>17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ht="15.75">
      <c r="A13" s="22">
        <v>10</v>
      </c>
      <c r="B13" s="22" t="s">
        <v>28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7" ht="15.75">
      <c r="A14" s="22">
        <v>11</v>
      </c>
      <c r="B14" s="22" t="s">
        <v>27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ht="15.75">
      <c r="A15" s="22">
        <v>12</v>
      </c>
      <c r="B15" s="22" t="s">
        <v>18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</row>
    <row r="16" spans="1:7" ht="15.75">
      <c r="A16" s="22">
        <v>13</v>
      </c>
      <c r="B16" s="22" t="s">
        <v>16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</row>
    <row r="17" spans="1:7" ht="15.75">
      <c r="A17" s="22">
        <v>14</v>
      </c>
      <c r="B17" s="22" t="s">
        <v>12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ht="15.75">
      <c r="A18" s="22">
        <v>15</v>
      </c>
      <c r="B18" s="22" t="s">
        <v>13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ht="15.75">
      <c r="A19" s="22">
        <v>16</v>
      </c>
      <c r="B19" s="22" t="s">
        <v>23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</row>
    <row r="20" spans="1:7" ht="15.75">
      <c r="A20" s="86" t="s">
        <v>29</v>
      </c>
      <c r="B20" s="87"/>
      <c r="C20" s="8" t="s">
        <v>8</v>
      </c>
      <c r="D20" s="65"/>
      <c r="E20" s="66"/>
      <c r="F20" s="8" t="s">
        <v>8</v>
      </c>
      <c r="G20" s="8" t="s">
        <v>8</v>
      </c>
    </row>
    <row r="21" spans="1:7" ht="15.75">
      <c r="A21" s="27" t="s">
        <v>140</v>
      </c>
    </row>
  </sheetData>
  <mergeCells count="10">
    <mergeCell ref="A20:B20"/>
    <mergeCell ref="D20:E20"/>
    <mergeCell ref="A1:G1"/>
    <mergeCell ref="A2:A3"/>
    <mergeCell ref="B2:B3"/>
    <mergeCell ref="C2:C3"/>
    <mergeCell ref="D2:D3"/>
    <mergeCell ref="E2:E3"/>
    <mergeCell ref="F2:F3"/>
    <mergeCell ref="G2:G3"/>
  </mergeCells>
  <pageMargins left="0.42" right="0.28000000000000003" top="0.75" bottom="0.75" header="0.3" footer="0.3"/>
  <pageSetup paperSize="5" scale="54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>
      <selection sqref="A1:G1"/>
    </sheetView>
  </sheetViews>
  <sheetFormatPr defaultColWidth="9" defaultRowHeight="15"/>
  <cols>
    <col min="1" max="1" width="5.7109375" customWidth="1"/>
    <col min="2" max="2" width="15" customWidth="1"/>
    <col min="3" max="3" width="15.85546875" customWidth="1"/>
    <col min="4" max="4" width="24.28515625" style="28" customWidth="1"/>
    <col min="5" max="5" width="21.140625" style="28" customWidth="1"/>
    <col min="6" max="6" width="16.42578125" style="28" customWidth="1"/>
    <col min="7" max="7" width="20" customWidth="1"/>
  </cols>
  <sheetData>
    <row r="1" spans="1:7" ht="30.75" customHeight="1">
      <c r="A1" s="79" t="s">
        <v>141</v>
      </c>
      <c r="B1" s="79"/>
      <c r="C1" s="79"/>
      <c r="D1" s="79"/>
      <c r="E1" s="79"/>
      <c r="F1" s="79"/>
      <c r="G1" s="79"/>
    </row>
    <row r="2" spans="1:7" ht="15.75" customHeight="1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142</v>
      </c>
      <c r="G2" s="97" t="s">
        <v>135</v>
      </c>
    </row>
    <row r="3" spans="1:7" ht="57.75" customHeight="1">
      <c r="A3" s="68"/>
      <c r="B3" s="72"/>
      <c r="C3" s="68"/>
      <c r="D3" s="93"/>
      <c r="E3" s="79"/>
      <c r="F3" s="68"/>
      <c r="G3" s="98"/>
    </row>
    <row r="4" spans="1:7" ht="15.75">
      <c r="A4" s="1">
        <v>1</v>
      </c>
      <c r="B4" s="1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15.75">
      <c r="A5" s="1">
        <v>2</v>
      </c>
      <c r="B5" s="3" t="s">
        <v>9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</row>
    <row r="6" spans="1:7" ht="15.75">
      <c r="A6" s="2">
        <v>3</v>
      </c>
      <c r="B6" s="2" t="s">
        <v>11</v>
      </c>
      <c r="C6" s="8">
        <v>6</v>
      </c>
      <c r="D6" s="8" t="s">
        <v>143</v>
      </c>
      <c r="E6" s="8" t="s">
        <v>144</v>
      </c>
      <c r="F6" s="8">
        <v>128.5</v>
      </c>
      <c r="G6" s="8">
        <v>10000</v>
      </c>
    </row>
    <row r="7" spans="1:7" ht="15.75">
      <c r="A7" s="2">
        <v>4</v>
      </c>
      <c r="B7" s="2" t="s">
        <v>7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</row>
    <row r="8" spans="1:7" ht="15.75">
      <c r="A8" s="1">
        <v>5</v>
      </c>
      <c r="B8" s="2" t="s">
        <v>21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5.75">
      <c r="A9" s="1">
        <v>6</v>
      </c>
      <c r="B9" s="2" t="s">
        <v>19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ht="15.75">
      <c r="A10" s="1">
        <v>7</v>
      </c>
      <c r="B10" s="2" t="s">
        <v>24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ht="15.75">
      <c r="A11" s="1">
        <v>8</v>
      </c>
      <c r="B11" s="2" t="s">
        <v>136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7" ht="15.75">
      <c r="A12" s="1">
        <v>9</v>
      </c>
      <c r="B12" s="2" t="s">
        <v>17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ht="15.75">
      <c r="A13" s="1">
        <v>10</v>
      </c>
      <c r="B13" s="2" t="s">
        <v>28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7" ht="15.75">
      <c r="A14" s="1">
        <v>11</v>
      </c>
      <c r="B14" s="2" t="s">
        <v>27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ht="15.75">
      <c r="A15" s="1">
        <v>12</v>
      </c>
      <c r="B15" s="2" t="s">
        <v>18</v>
      </c>
      <c r="C15" s="8">
        <v>9</v>
      </c>
      <c r="D15" s="8" t="s">
        <v>145</v>
      </c>
      <c r="E15" s="8" t="s">
        <v>144</v>
      </c>
      <c r="F15" s="29">
        <v>1</v>
      </c>
      <c r="G15" s="8">
        <v>1600</v>
      </c>
    </row>
    <row r="16" spans="1:7" ht="15.75">
      <c r="A16" s="1">
        <v>13</v>
      </c>
      <c r="B16" s="2" t="s">
        <v>16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</row>
    <row r="17" spans="1:7" ht="15.75">
      <c r="A17" s="1">
        <v>14</v>
      </c>
      <c r="B17" s="1" t="s">
        <v>12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ht="15.75">
      <c r="A18" s="1">
        <v>15</v>
      </c>
      <c r="B18" s="1" t="s">
        <v>13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ht="15.75">
      <c r="A19" s="1">
        <v>16</v>
      </c>
      <c r="B19" s="1" t="s">
        <v>23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</row>
    <row r="20" spans="1:7">
      <c r="A20" s="86" t="s">
        <v>29</v>
      </c>
      <c r="B20" s="87"/>
      <c r="C20" s="33">
        <f>SUM(C15+C6)</f>
        <v>15</v>
      </c>
      <c r="D20" s="86"/>
      <c r="E20" s="87"/>
      <c r="F20" s="34">
        <f>SUM(F6+F15)</f>
        <v>129.5</v>
      </c>
      <c r="G20" s="33">
        <f>SUM(G6:G19)</f>
        <v>11600</v>
      </c>
    </row>
    <row r="21" spans="1:7" ht="15.75">
      <c r="A21" s="27" t="s">
        <v>146</v>
      </c>
      <c r="B21" s="25"/>
      <c r="C21" s="25"/>
      <c r="D21" s="35"/>
      <c r="E21" s="35"/>
      <c r="F21" s="35"/>
      <c r="G21" s="25"/>
    </row>
    <row r="22" spans="1:7">
      <c r="A22" s="115"/>
      <c r="B22" s="115"/>
      <c r="C22" s="115"/>
      <c r="D22" s="115"/>
      <c r="E22" s="115"/>
      <c r="F22" s="115"/>
      <c r="G22" s="115"/>
    </row>
  </sheetData>
  <mergeCells count="11">
    <mergeCell ref="A1:G1"/>
    <mergeCell ref="A20:B20"/>
    <mergeCell ref="D20:E20"/>
    <mergeCell ref="A22:G22"/>
    <mergeCell ref="A2:A3"/>
    <mergeCell ref="B2:B3"/>
    <mergeCell ref="C2:C3"/>
    <mergeCell ref="D2:D3"/>
    <mergeCell ref="E2:E3"/>
    <mergeCell ref="F2:F3"/>
    <mergeCell ref="G2:G3"/>
  </mergeCells>
  <pageMargins left="0.42" right="0.28000000000000003" top="0.75" bottom="0.75" header="0.3" footer="0.3"/>
  <pageSetup paperSize="5" scale="54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>
      <selection activeCell="J17" sqref="J17"/>
    </sheetView>
  </sheetViews>
  <sheetFormatPr defaultColWidth="9" defaultRowHeight="15"/>
  <cols>
    <col min="1" max="1" width="5.7109375" customWidth="1"/>
    <col min="2" max="2" width="15" customWidth="1"/>
    <col min="3" max="3" width="15.85546875" customWidth="1"/>
    <col min="4" max="4" width="24.28515625" style="28" customWidth="1"/>
    <col min="5" max="5" width="21.140625" style="28" customWidth="1"/>
    <col min="6" max="6" width="16.42578125" style="28" customWidth="1"/>
    <col min="7" max="7" width="20" customWidth="1"/>
  </cols>
  <sheetData>
    <row r="1" spans="1:7" ht="30.75" customHeight="1">
      <c r="A1" s="125" t="s">
        <v>147</v>
      </c>
      <c r="B1" s="126"/>
      <c r="C1" s="126"/>
      <c r="D1" s="126"/>
      <c r="E1" s="126"/>
      <c r="F1" s="126"/>
      <c r="G1" s="127"/>
    </row>
    <row r="2" spans="1:7" ht="15.75" customHeight="1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148</v>
      </c>
      <c r="G2" s="97" t="s">
        <v>135</v>
      </c>
    </row>
    <row r="3" spans="1:7" ht="57.75" customHeight="1">
      <c r="A3" s="68"/>
      <c r="B3" s="72"/>
      <c r="C3" s="68"/>
      <c r="D3" s="93"/>
      <c r="E3" s="79"/>
      <c r="F3" s="68"/>
      <c r="G3" s="98"/>
    </row>
    <row r="4" spans="1:7" ht="15.75">
      <c r="A4" s="1">
        <v>1</v>
      </c>
      <c r="B4" s="1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15.75">
      <c r="A5" s="1">
        <v>2</v>
      </c>
      <c r="B5" s="3" t="s">
        <v>9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</row>
    <row r="6" spans="1:7" ht="15.75">
      <c r="A6" s="2">
        <v>3</v>
      </c>
      <c r="B6" s="2" t="s">
        <v>11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ht="15.75">
      <c r="A7" s="2">
        <v>4</v>
      </c>
      <c r="B7" s="2" t="s">
        <v>7</v>
      </c>
      <c r="C7" s="8">
        <v>1</v>
      </c>
      <c r="D7" s="8" t="s">
        <v>149</v>
      </c>
      <c r="E7" s="8" t="s">
        <v>144</v>
      </c>
      <c r="F7" s="29">
        <v>2</v>
      </c>
      <c r="G7" s="8">
        <v>80</v>
      </c>
    </row>
    <row r="8" spans="1:7" ht="15.75">
      <c r="A8" s="1">
        <v>5</v>
      </c>
      <c r="B8" s="2" t="s">
        <v>21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5.75">
      <c r="A9" s="1">
        <v>6</v>
      </c>
      <c r="B9" s="2" t="s">
        <v>19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ht="15.75">
      <c r="A10" s="1">
        <v>7</v>
      </c>
      <c r="B10" s="2" t="s">
        <v>24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ht="15.75">
      <c r="A11" s="1">
        <v>8</v>
      </c>
      <c r="B11" s="2" t="s">
        <v>136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7" ht="15.75">
      <c r="A12" s="1">
        <v>9</v>
      </c>
      <c r="B12" s="2" t="s">
        <v>17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ht="15.75">
      <c r="A13" s="1">
        <v>10</v>
      </c>
      <c r="B13" s="2" t="s">
        <v>28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</row>
    <row r="14" spans="1:7" ht="15.75">
      <c r="A14" s="1">
        <v>11</v>
      </c>
      <c r="B14" s="2" t="s">
        <v>27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ht="15.75">
      <c r="A15" s="72">
        <v>12</v>
      </c>
      <c r="B15" s="69" t="s">
        <v>18</v>
      </c>
      <c r="C15" s="8">
        <v>1</v>
      </c>
      <c r="D15" s="8" t="s">
        <v>150</v>
      </c>
      <c r="E15" s="8" t="s">
        <v>144</v>
      </c>
      <c r="F15" s="8">
        <v>2.6</v>
      </c>
      <c r="G15" s="8">
        <v>4500</v>
      </c>
    </row>
    <row r="16" spans="1:7" ht="15.75">
      <c r="A16" s="72"/>
      <c r="B16" s="70"/>
      <c r="C16" s="8">
        <v>1</v>
      </c>
      <c r="D16" s="8" t="s">
        <v>145</v>
      </c>
      <c r="E16" s="8" t="s">
        <v>144</v>
      </c>
      <c r="F16" s="8">
        <v>1.5</v>
      </c>
      <c r="G16" s="8">
        <v>300</v>
      </c>
    </row>
    <row r="17" spans="1:7" ht="15.75">
      <c r="A17" s="1">
        <v>13</v>
      </c>
      <c r="B17" s="2" t="s">
        <v>16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ht="15.75">
      <c r="A18" s="1">
        <v>14</v>
      </c>
      <c r="B18" s="1" t="s">
        <v>12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ht="15.75">
      <c r="A19" s="1">
        <v>15</v>
      </c>
      <c r="B19" s="1" t="s">
        <v>13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</row>
    <row r="20" spans="1:7" ht="15.75">
      <c r="A20" s="1">
        <v>16</v>
      </c>
      <c r="B20" s="1" t="s">
        <v>23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</row>
    <row r="21" spans="1:7">
      <c r="A21" s="128" t="s">
        <v>29</v>
      </c>
      <c r="B21" s="129"/>
      <c r="C21" s="30">
        <f>SUM(C7+C15+C16)</f>
        <v>3</v>
      </c>
      <c r="D21" s="10"/>
      <c r="E21" s="10"/>
      <c r="F21" s="31">
        <f>SUM(F7+F15+F16)</f>
        <v>6.1</v>
      </c>
      <c r="G21" s="32"/>
    </row>
    <row r="22" spans="1:7" ht="15.75">
      <c r="A22" s="23" t="s">
        <v>151</v>
      </c>
    </row>
    <row r="23" spans="1:7">
      <c r="A23" s="115" t="s">
        <v>152</v>
      </c>
      <c r="B23" s="115"/>
      <c r="C23" s="115"/>
      <c r="D23" s="115"/>
      <c r="E23" s="115"/>
      <c r="F23" s="115"/>
      <c r="G23" s="115"/>
    </row>
    <row r="24" spans="1:7">
      <c r="A24" s="115"/>
      <c r="B24" s="115"/>
      <c r="C24" s="115"/>
      <c r="D24" s="115"/>
      <c r="E24" s="115"/>
      <c r="F24" s="115"/>
      <c r="G24" s="115"/>
    </row>
  </sheetData>
  <mergeCells count="12">
    <mergeCell ref="A23:G24"/>
    <mergeCell ref="A1:G1"/>
    <mergeCell ref="A21:B21"/>
    <mergeCell ref="A2:A3"/>
    <mergeCell ref="A15:A16"/>
    <mergeCell ref="B2:B3"/>
    <mergeCell ref="B15:B16"/>
    <mergeCell ref="C2:C3"/>
    <mergeCell ref="D2:D3"/>
    <mergeCell ref="E2:E3"/>
    <mergeCell ref="F2:F3"/>
    <mergeCell ref="G2:G3"/>
  </mergeCells>
  <pageMargins left="0.42" right="0.28000000000000003" top="0.75" bottom="0.75" header="0.3" footer="0.3"/>
  <pageSetup paperSize="5" scale="54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"/>
  <sheetViews>
    <sheetView topLeftCell="A7" workbookViewId="0">
      <selection activeCell="K17" sqref="K17"/>
    </sheetView>
  </sheetViews>
  <sheetFormatPr defaultColWidth="9.140625" defaultRowHeight="15"/>
  <cols>
    <col min="1" max="1" width="5.7109375" style="25" customWidth="1"/>
    <col min="2" max="2" width="17.42578125" style="25" customWidth="1"/>
    <col min="3" max="3" width="15.85546875" style="25" customWidth="1"/>
    <col min="4" max="4" width="27" style="25" customWidth="1"/>
    <col min="5" max="5" width="22.7109375" style="25" customWidth="1"/>
    <col min="6" max="6" width="16.42578125" style="25" customWidth="1"/>
    <col min="7" max="7" width="20" style="25" customWidth="1"/>
    <col min="8" max="8" width="4.7109375" style="25" customWidth="1"/>
    <col min="9" max="9" width="4.85546875" style="25" customWidth="1"/>
    <col min="10" max="10" width="10.140625" style="25" customWidth="1"/>
    <col min="11" max="11" width="10" style="25" customWidth="1"/>
    <col min="12" max="12" width="27.85546875" style="25" customWidth="1"/>
    <col min="13" max="13" width="15.140625" style="25" customWidth="1"/>
    <col min="14" max="14" width="9.140625" style="25"/>
    <col min="15" max="15" width="15.28515625" style="25" customWidth="1"/>
    <col min="16" max="16384" width="9.140625" style="25"/>
  </cols>
  <sheetData>
    <row r="1" spans="1:15" ht="30.75" customHeight="1">
      <c r="A1" s="125" t="s">
        <v>153</v>
      </c>
      <c r="B1" s="126"/>
      <c r="C1" s="126"/>
      <c r="D1" s="126"/>
      <c r="E1" s="126"/>
      <c r="F1" s="126"/>
      <c r="G1" s="127"/>
      <c r="I1" s="130"/>
      <c r="J1" s="130"/>
      <c r="K1" s="130"/>
      <c r="L1" s="130"/>
      <c r="M1" s="130"/>
      <c r="N1" s="130"/>
      <c r="O1" s="130"/>
    </row>
    <row r="2" spans="1:15" ht="15.75" customHeight="1">
      <c r="A2" s="67" t="s">
        <v>1</v>
      </c>
      <c r="B2" s="72" t="s">
        <v>2</v>
      </c>
      <c r="C2" s="67" t="s">
        <v>5</v>
      </c>
      <c r="D2" s="92" t="s">
        <v>75</v>
      </c>
      <c r="E2" s="79" t="s">
        <v>4</v>
      </c>
      <c r="F2" s="67" t="s">
        <v>134</v>
      </c>
      <c r="G2" s="97" t="s">
        <v>135</v>
      </c>
    </row>
    <row r="3" spans="1:15" ht="57.75" customHeight="1">
      <c r="A3" s="68"/>
      <c r="B3" s="72"/>
      <c r="C3" s="68"/>
      <c r="D3" s="93"/>
      <c r="E3" s="79"/>
      <c r="F3" s="68"/>
      <c r="G3" s="98"/>
    </row>
    <row r="4" spans="1:15" ht="15.75">
      <c r="A4" s="2">
        <v>1</v>
      </c>
      <c r="B4" s="22" t="s">
        <v>10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</row>
    <row r="5" spans="1:15" ht="15.75">
      <c r="A5" s="2">
        <v>2</v>
      </c>
      <c r="B5" s="22" t="s">
        <v>9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</row>
    <row r="6" spans="1:15" ht="15.75">
      <c r="A6" s="2">
        <v>3</v>
      </c>
      <c r="B6" s="22" t="s">
        <v>11</v>
      </c>
      <c r="C6" s="8">
        <v>2</v>
      </c>
      <c r="D6" s="6" t="s">
        <v>154</v>
      </c>
      <c r="E6" s="6" t="s">
        <v>155</v>
      </c>
      <c r="F6" s="26">
        <v>3</v>
      </c>
      <c r="G6" s="8">
        <v>6000</v>
      </c>
    </row>
    <row r="7" spans="1:15" ht="15.75">
      <c r="A7" s="2">
        <v>4</v>
      </c>
      <c r="B7" s="22" t="s">
        <v>7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</row>
    <row r="8" spans="1:15" ht="15.75">
      <c r="A8" s="2">
        <v>5</v>
      </c>
      <c r="B8" s="22" t="s">
        <v>21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15" ht="15.75">
      <c r="A9" s="2">
        <v>6</v>
      </c>
      <c r="B9" s="22" t="s">
        <v>19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15" ht="15.75">
      <c r="A10" s="2">
        <v>7</v>
      </c>
      <c r="B10" s="22" t="s">
        <v>24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15" ht="15.75">
      <c r="A11" s="2">
        <v>8</v>
      </c>
      <c r="B11" s="22" t="s">
        <v>136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15" ht="15.75">
      <c r="A12" s="2">
        <v>9</v>
      </c>
      <c r="B12" s="22" t="s">
        <v>17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15" ht="15.75">
      <c r="A13" s="2">
        <v>10</v>
      </c>
      <c r="B13" s="22" t="s">
        <v>28</v>
      </c>
      <c r="C13" s="8">
        <v>2</v>
      </c>
      <c r="D13" s="6" t="s">
        <v>154</v>
      </c>
      <c r="E13" s="6" t="s">
        <v>156</v>
      </c>
      <c r="F13" s="8">
        <v>17.46</v>
      </c>
      <c r="G13" s="8">
        <v>9190</v>
      </c>
    </row>
    <row r="14" spans="1:15" ht="15.75">
      <c r="A14" s="2">
        <v>11</v>
      </c>
      <c r="B14" s="22" t="s">
        <v>27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15" ht="15.75">
      <c r="A15" s="2">
        <v>12</v>
      </c>
      <c r="B15" s="22" t="s">
        <v>18</v>
      </c>
      <c r="C15" s="8">
        <v>1</v>
      </c>
      <c r="D15" s="6" t="s">
        <v>154</v>
      </c>
      <c r="E15" s="8" t="s">
        <v>157</v>
      </c>
      <c r="F15" s="8">
        <v>2</v>
      </c>
      <c r="G15" s="8">
        <v>4000</v>
      </c>
    </row>
    <row r="16" spans="1:15" ht="15.75">
      <c r="A16" s="2">
        <v>13</v>
      </c>
      <c r="B16" s="22" t="s">
        <v>16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</row>
    <row r="17" spans="1:7" ht="15.75">
      <c r="A17" s="2">
        <v>14</v>
      </c>
      <c r="B17" s="22" t="s">
        <v>12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ht="15.75">
      <c r="A18" s="69">
        <v>15</v>
      </c>
      <c r="B18" s="69" t="s">
        <v>13</v>
      </c>
      <c r="C18" s="8">
        <v>2</v>
      </c>
      <c r="D18" s="6" t="s">
        <v>158</v>
      </c>
      <c r="E18" s="8" t="s">
        <v>159</v>
      </c>
      <c r="F18" s="8">
        <v>0.81</v>
      </c>
      <c r="G18" s="8">
        <v>1611</v>
      </c>
    </row>
    <row r="19" spans="1:7" ht="15.75">
      <c r="A19" s="71"/>
      <c r="B19" s="71"/>
      <c r="C19" s="8">
        <v>4</v>
      </c>
      <c r="D19" s="6" t="s">
        <v>160</v>
      </c>
      <c r="E19" s="8" t="s">
        <v>159</v>
      </c>
      <c r="F19" s="8">
        <v>7.64</v>
      </c>
      <c r="G19" s="8">
        <v>2786</v>
      </c>
    </row>
    <row r="20" spans="1:7" ht="15.75">
      <c r="A20" s="2">
        <v>16</v>
      </c>
      <c r="B20" s="22" t="s">
        <v>23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</row>
    <row r="21" spans="1:7">
      <c r="A21" s="86" t="s">
        <v>29</v>
      </c>
      <c r="B21" s="87"/>
      <c r="C21" s="9">
        <v>11</v>
      </c>
      <c r="D21" s="24"/>
      <c r="E21" s="24"/>
      <c r="F21" s="9">
        <v>30.91</v>
      </c>
      <c r="G21" s="9">
        <v>23587</v>
      </c>
    </row>
    <row r="22" spans="1:7" ht="15.75">
      <c r="A22" s="27" t="s">
        <v>161</v>
      </c>
    </row>
    <row r="23" spans="1:7">
      <c r="A23" s="102"/>
      <c r="B23" s="102"/>
      <c r="C23" s="102"/>
      <c r="D23" s="102"/>
      <c r="E23" s="102"/>
      <c r="F23" s="102"/>
      <c r="G23" s="102"/>
    </row>
  </sheetData>
  <mergeCells count="13">
    <mergeCell ref="A1:G1"/>
    <mergeCell ref="I1:O1"/>
    <mergeCell ref="A21:B21"/>
    <mergeCell ref="A23:G23"/>
    <mergeCell ref="A2:A3"/>
    <mergeCell ref="A18:A19"/>
    <mergeCell ref="B2:B3"/>
    <mergeCell ref="B18:B19"/>
    <mergeCell ref="C2:C3"/>
    <mergeCell ref="D2:D3"/>
    <mergeCell ref="E2:E3"/>
    <mergeCell ref="F2:F3"/>
    <mergeCell ref="G2:G3"/>
  </mergeCells>
  <pageMargins left="0.42" right="0.28000000000000003" top="0.75" bottom="0.75" header="0.3" footer="0.3"/>
  <pageSetup paperSize="5" scale="54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"/>
  <sheetViews>
    <sheetView zoomScale="85" zoomScaleNormal="85" workbookViewId="0">
      <selection activeCell="A32" sqref="A32:G32"/>
    </sheetView>
  </sheetViews>
  <sheetFormatPr defaultColWidth="9" defaultRowHeight="15"/>
  <cols>
    <col min="1" max="1" width="5.7109375" customWidth="1"/>
    <col min="2" max="2" width="17.5703125" customWidth="1"/>
    <col min="3" max="3" width="15.85546875" customWidth="1"/>
    <col min="4" max="4" width="22" customWidth="1"/>
    <col min="5" max="5" width="18.28515625" customWidth="1"/>
  </cols>
  <sheetData>
    <row r="1" spans="1:5" ht="30.75" customHeight="1">
      <c r="A1" s="81" t="s">
        <v>162</v>
      </c>
      <c r="B1" s="82"/>
      <c r="C1" s="82"/>
      <c r="D1" s="82"/>
      <c r="E1" s="82"/>
    </row>
    <row r="2" spans="1:5" ht="15.75" customHeight="1">
      <c r="A2" s="67" t="s">
        <v>1</v>
      </c>
      <c r="B2" s="72" t="s">
        <v>2</v>
      </c>
      <c r="C2" s="67" t="s">
        <v>5</v>
      </c>
      <c r="D2" s="79" t="s">
        <v>4</v>
      </c>
      <c r="E2" s="97" t="s">
        <v>44</v>
      </c>
    </row>
    <row r="3" spans="1:5" ht="67.5" customHeight="1">
      <c r="A3" s="68"/>
      <c r="B3" s="72"/>
      <c r="C3" s="68"/>
      <c r="D3" s="79"/>
      <c r="E3" s="98"/>
    </row>
    <row r="4" spans="1:5" ht="15.75">
      <c r="A4" s="69">
        <v>1</v>
      </c>
      <c r="B4" s="72" t="s">
        <v>10</v>
      </c>
      <c r="C4" s="90">
        <v>21</v>
      </c>
      <c r="D4" s="6" t="s">
        <v>163</v>
      </c>
      <c r="E4" s="90" t="s">
        <v>8</v>
      </c>
    </row>
    <row r="5" spans="1:5" ht="15.75">
      <c r="A5" s="70"/>
      <c r="B5" s="72"/>
      <c r="C5" s="105"/>
      <c r="D5" s="6" t="s">
        <v>164</v>
      </c>
      <c r="E5" s="105"/>
    </row>
    <row r="6" spans="1:5" ht="15.75">
      <c r="A6" s="70"/>
      <c r="B6" s="72"/>
      <c r="C6" s="105"/>
      <c r="D6" s="6" t="s">
        <v>165</v>
      </c>
      <c r="E6" s="105"/>
    </row>
    <row r="7" spans="1:5" ht="15.75">
      <c r="A7" s="70"/>
      <c r="B7" s="72"/>
      <c r="C7" s="105"/>
      <c r="D7" s="6" t="s">
        <v>166</v>
      </c>
      <c r="E7" s="105"/>
    </row>
    <row r="8" spans="1:5" ht="15.75">
      <c r="A8" s="71"/>
      <c r="B8" s="72"/>
      <c r="C8" s="91"/>
      <c r="D8" s="6" t="s">
        <v>167</v>
      </c>
      <c r="E8" s="91"/>
    </row>
    <row r="9" spans="1:5" ht="15.75">
      <c r="A9" s="69">
        <v>2</v>
      </c>
      <c r="B9" s="69" t="s">
        <v>9</v>
      </c>
      <c r="C9" s="90">
        <v>19</v>
      </c>
      <c r="D9" s="6" t="s">
        <v>168</v>
      </c>
      <c r="E9" s="90" t="s">
        <v>8</v>
      </c>
    </row>
    <row r="10" spans="1:5" ht="15.75">
      <c r="A10" s="71"/>
      <c r="B10" s="71"/>
      <c r="C10" s="91"/>
      <c r="D10" s="6" t="s">
        <v>169</v>
      </c>
      <c r="E10" s="91"/>
    </row>
    <row r="11" spans="1:5" ht="15.75">
      <c r="A11" s="2">
        <v>3</v>
      </c>
      <c r="B11" s="2" t="s">
        <v>11</v>
      </c>
      <c r="C11" s="8">
        <v>6</v>
      </c>
      <c r="D11" s="6" t="s">
        <v>167</v>
      </c>
      <c r="E11" s="8" t="s">
        <v>8</v>
      </c>
    </row>
    <row r="12" spans="1:5" ht="15.75">
      <c r="A12" s="69">
        <v>4</v>
      </c>
      <c r="B12" s="69" t="s">
        <v>7</v>
      </c>
      <c r="C12" s="90">
        <v>46</v>
      </c>
      <c r="D12" s="6" t="s">
        <v>170</v>
      </c>
      <c r="E12" s="90" t="s">
        <v>8</v>
      </c>
    </row>
    <row r="13" spans="1:5" ht="15.75">
      <c r="A13" s="70"/>
      <c r="B13" s="70"/>
      <c r="C13" s="105"/>
      <c r="D13" s="6" t="s">
        <v>171</v>
      </c>
      <c r="E13" s="105"/>
    </row>
    <row r="14" spans="1:5" ht="15.75">
      <c r="A14" s="71"/>
      <c r="B14" s="71"/>
      <c r="C14" s="91"/>
      <c r="D14" s="6" t="s">
        <v>172</v>
      </c>
      <c r="E14" s="91"/>
    </row>
    <row r="15" spans="1:5" ht="15.75">
      <c r="A15" s="2">
        <v>5</v>
      </c>
      <c r="B15" s="2" t="s">
        <v>21</v>
      </c>
      <c r="C15" s="8">
        <v>2</v>
      </c>
      <c r="D15" s="6" t="s">
        <v>173</v>
      </c>
      <c r="E15" s="8" t="s">
        <v>8</v>
      </c>
    </row>
    <row r="16" spans="1:5" ht="15.75">
      <c r="A16" s="69">
        <v>6</v>
      </c>
      <c r="B16" s="69" t="s">
        <v>19</v>
      </c>
      <c r="C16" s="90">
        <v>9</v>
      </c>
      <c r="D16" s="6" t="s">
        <v>174</v>
      </c>
      <c r="E16" s="8" t="s">
        <v>8</v>
      </c>
    </row>
    <row r="17" spans="1:7" ht="15.75">
      <c r="A17" s="71"/>
      <c r="B17" s="71"/>
      <c r="C17" s="91"/>
      <c r="D17" s="6" t="s">
        <v>175</v>
      </c>
      <c r="E17" s="8"/>
    </row>
    <row r="18" spans="1:7" ht="15.75">
      <c r="A18" s="69">
        <v>7</v>
      </c>
      <c r="B18" s="69" t="s">
        <v>24</v>
      </c>
      <c r="C18" s="90">
        <v>4</v>
      </c>
      <c r="D18" s="6" t="s">
        <v>176</v>
      </c>
      <c r="E18" s="90" t="s">
        <v>8</v>
      </c>
    </row>
    <row r="19" spans="1:7" ht="15.75">
      <c r="A19" s="71"/>
      <c r="B19" s="71"/>
      <c r="C19" s="91"/>
      <c r="D19" s="6" t="s">
        <v>177</v>
      </c>
      <c r="E19" s="91"/>
    </row>
    <row r="20" spans="1:7" ht="15.75">
      <c r="A20" s="2">
        <v>8</v>
      </c>
      <c r="B20" s="2" t="s">
        <v>136</v>
      </c>
      <c r="C20" s="8" t="s">
        <v>8</v>
      </c>
      <c r="D20" s="6" t="s">
        <v>8</v>
      </c>
      <c r="E20" s="8" t="s">
        <v>8</v>
      </c>
    </row>
    <row r="21" spans="1:7" ht="15.75">
      <c r="A21" s="2">
        <v>9</v>
      </c>
      <c r="B21" s="2" t="s">
        <v>17</v>
      </c>
      <c r="C21" s="8">
        <v>1</v>
      </c>
      <c r="D21" s="6" t="s">
        <v>178</v>
      </c>
      <c r="E21" s="8" t="s">
        <v>8</v>
      </c>
    </row>
    <row r="22" spans="1:7" ht="15.75">
      <c r="A22" s="2">
        <v>10</v>
      </c>
      <c r="B22" s="2" t="s">
        <v>28</v>
      </c>
      <c r="C22" s="8">
        <v>3</v>
      </c>
      <c r="D22" s="6" t="s">
        <v>176</v>
      </c>
      <c r="E22" s="8" t="s">
        <v>8</v>
      </c>
    </row>
    <row r="23" spans="1:7" ht="15.75">
      <c r="A23" s="69">
        <v>11</v>
      </c>
      <c r="B23" s="69" t="s">
        <v>27</v>
      </c>
      <c r="C23" s="90">
        <v>4</v>
      </c>
      <c r="D23" s="6" t="s">
        <v>179</v>
      </c>
      <c r="E23" s="90" t="s">
        <v>8</v>
      </c>
    </row>
    <row r="24" spans="1:7" ht="15.75">
      <c r="A24" s="71"/>
      <c r="B24" s="71"/>
      <c r="C24" s="91"/>
      <c r="D24" s="6" t="s">
        <v>180</v>
      </c>
      <c r="E24" s="91"/>
    </row>
    <row r="25" spans="1:7" ht="15.75">
      <c r="A25" s="2">
        <v>12</v>
      </c>
      <c r="B25" s="2" t="s">
        <v>18</v>
      </c>
      <c r="C25" s="8" t="s">
        <v>8</v>
      </c>
      <c r="D25" s="6" t="s">
        <v>8</v>
      </c>
      <c r="E25" s="8" t="s">
        <v>8</v>
      </c>
    </row>
    <row r="26" spans="1:7" ht="15.75">
      <c r="A26" s="2">
        <v>13</v>
      </c>
      <c r="B26" s="2" t="s">
        <v>16</v>
      </c>
      <c r="C26" s="8" t="s">
        <v>8</v>
      </c>
      <c r="D26" s="6" t="s">
        <v>8</v>
      </c>
      <c r="E26" s="8" t="s">
        <v>8</v>
      </c>
    </row>
    <row r="27" spans="1:7" ht="15.75">
      <c r="A27" s="2">
        <v>14</v>
      </c>
      <c r="B27" s="2" t="s">
        <v>12</v>
      </c>
      <c r="C27" s="8">
        <v>2</v>
      </c>
      <c r="D27" s="6" t="s">
        <v>173</v>
      </c>
      <c r="E27" s="8" t="s">
        <v>8</v>
      </c>
    </row>
    <row r="28" spans="1:7" ht="15.75">
      <c r="A28" s="69">
        <v>15</v>
      </c>
      <c r="B28" s="69" t="s">
        <v>13</v>
      </c>
      <c r="C28" s="90">
        <v>3</v>
      </c>
      <c r="D28" s="6" t="s">
        <v>173</v>
      </c>
      <c r="E28" s="90" t="s">
        <v>8</v>
      </c>
    </row>
    <row r="29" spans="1:7" ht="15.75">
      <c r="A29" s="71"/>
      <c r="B29" s="71"/>
      <c r="C29" s="91"/>
      <c r="D29" s="6" t="s">
        <v>175</v>
      </c>
      <c r="E29" s="91"/>
    </row>
    <row r="30" spans="1:7" ht="15.75">
      <c r="A30" s="1">
        <v>16</v>
      </c>
      <c r="B30" s="1" t="s">
        <v>23</v>
      </c>
      <c r="C30" s="8">
        <v>3</v>
      </c>
      <c r="D30" s="6" t="s">
        <v>180</v>
      </c>
      <c r="E30" s="8" t="s">
        <v>8</v>
      </c>
    </row>
    <row r="31" spans="1:7">
      <c r="A31" s="86" t="s">
        <v>29</v>
      </c>
      <c r="B31" s="87"/>
      <c r="C31" s="9">
        <f>SUM(C4+C9+C11+C12+C15+C16+C18+C21+C22+C23+C27+C28+C30)</f>
        <v>123</v>
      </c>
      <c r="D31" s="24"/>
      <c r="E31" s="24"/>
    </row>
    <row r="32" spans="1:7" ht="25.5" customHeight="1">
      <c r="A32" s="131" t="s">
        <v>181</v>
      </c>
      <c r="B32" s="131"/>
      <c r="C32" s="131"/>
      <c r="D32" s="131"/>
      <c r="E32" s="131"/>
      <c r="F32" s="131"/>
      <c r="G32" s="131"/>
    </row>
  </sheetData>
  <mergeCells count="35">
    <mergeCell ref="E18:E19"/>
    <mergeCell ref="E23:E24"/>
    <mergeCell ref="E28:E29"/>
    <mergeCell ref="D2:D3"/>
    <mergeCell ref="E2:E3"/>
    <mergeCell ref="E4:E8"/>
    <mergeCell ref="E9:E10"/>
    <mergeCell ref="E12:E14"/>
    <mergeCell ref="B18:B19"/>
    <mergeCell ref="B23:B24"/>
    <mergeCell ref="B28:B29"/>
    <mergeCell ref="C2:C3"/>
    <mergeCell ref="C4:C8"/>
    <mergeCell ref="C9:C10"/>
    <mergeCell ref="C12:C14"/>
    <mergeCell ref="C16:C17"/>
    <mergeCell ref="C18:C19"/>
    <mergeCell ref="C23:C24"/>
    <mergeCell ref="C28:C29"/>
    <mergeCell ref="A1:E1"/>
    <mergeCell ref="A31:B31"/>
    <mergeCell ref="A32:G32"/>
    <mergeCell ref="A2:A3"/>
    <mergeCell ref="A4:A8"/>
    <mergeCell ref="A9:A10"/>
    <mergeCell ref="A12:A14"/>
    <mergeCell ref="A16:A17"/>
    <mergeCell ref="A18:A19"/>
    <mergeCell ref="A23:A24"/>
    <mergeCell ref="A28:A29"/>
    <mergeCell ref="B2:B3"/>
    <mergeCell ref="B4:B8"/>
    <mergeCell ref="B9:B10"/>
    <mergeCell ref="B12:B14"/>
    <mergeCell ref="B16:B17"/>
  </mergeCells>
  <pageMargins left="0.42" right="0.28000000000000003" top="0.75" bottom="0.75" header="0.3" footer="0.3"/>
  <pageSetup paperSize="5" scale="54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2"/>
  <sheetViews>
    <sheetView workbookViewId="0">
      <selection activeCell="I3" sqref="I3"/>
    </sheetView>
  </sheetViews>
  <sheetFormatPr defaultColWidth="9" defaultRowHeight="15"/>
  <cols>
    <col min="1" max="1" width="5.7109375" customWidth="1"/>
    <col min="2" max="2" width="16.42578125" customWidth="1"/>
    <col min="3" max="3" width="15.85546875" customWidth="1"/>
    <col min="4" max="4" width="21" customWidth="1"/>
    <col min="5" max="5" width="14.7109375" customWidth="1"/>
    <col min="7" max="7" width="10.28515625" customWidth="1"/>
    <col min="8" max="8" width="6.28515625" customWidth="1"/>
    <col min="9" max="9" width="8" customWidth="1"/>
    <col min="10" max="10" width="17.85546875" customWidth="1"/>
    <col min="11" max="11" width="7.7109375" customWidth="1"/>
  </cols>
  <sheetData>
    <row r="1" spans="1:12" ht="30.75" customHeight="1">
      <c r="A1" s="132" t="s">
        <v>182</v>
      </c>
      <c r="B1" s="133"/>
      <c r="C1" s="133"/>
      <c r="D1" s="133"/>
      <c r="E1" s="133"/>
      <c r="F1" s="133"/>
      <c r="G1" s="133"/>
    </row>
    <row r="2" spans="1:12" ht="15.75" customHeight="1">
      <c r="A2" s="67" t="s">
        <v>1</v>
      </c>
      <c r="B2" s="72" t="s">
        <v>2</v>
      </c>
      <c r="C2" s="67" t="s">
        <v>5</v>
      </c>
      <c r="D2" s="79" t="s">
        <v>4</v>
      </c>
      <c r="E2" s="97" t="s">
        <v>44</v>
      </c>
    </row>
    <row r="3" spans="1:12" ht="67.5" customHeight="1">
      <c r="A3" s="68"/>
      <c r="B3" s="72"/>
      <c r="C3" s="68"/>
      <c r="D3" s="79"/>
      <c r="E3" s="98"/>
    </row>
    <row r="4" spans="1:12" ht="15.75">
      <c r="A4" s="69">
        <v>1</v>
      </c>
      <c r="B4" s="69" t="s">
        <v>10</v>
      </c>
      <c r="C4" s="90">
        <v>18</v>
      </c>
      <c r="D4" s="6" t="s">
        <v>183</v>
      </c>
      <c r="E4" s="90" t="s">
        <v>8</v>
      </c>
    </row>
    <row r="5" spans="1:12" ht="15.75">
      <c r="A5" s="70"/>
      <c r="B5" s="70"/>
      <c r="C5" s="105"/>
      <c r="D5" s="6" t="s">
        <v>184</v>
      </c>
      <c r="E5" s="105"/>
    </row>
    <row r="6" spans="1:12" ht="15.75">
      <c r="A6" s="71"/>
      <c r="B6" s="71"/>
      <c r="C6" s="91"/>
      <c r="D6" s="6" t="s">
        <v>185</v>
      </c>
      <c r="E6" s="91"/>
    </row>
    <row r="7" spans="1:12" ht="15.75">
      <c r="A7" s="69">
        <v>2</v>
      </c>
      <c r="B7" s="69" t="s">
        <v>9</v>
      </c>
      <c r="C7" s="90">
        <v>27</v>
      </c>
      <c r="D7" s="6" t="s">
        <v>186</v>
      </c>
      <c r="E7" s="90">
        <v>6</v>
      </c>
      <c r="H7" s="134"/>
      <c r="I7" s="134"/>
      <c r="J7" s="135"/>
      <c r="K7" s="135"/>
    </row>
    <row r="8" spans="1:12" ht="15.75" customHeight="1">
      <c r="A8" s="70"/>
      <c r="B8" s="70"/>
      <c r="C8" s="105"/>
      <c r="D8" s="6" t="s">
        <v>187</v>
      </c>
      <c r="E8" s="105"/>
      <c r="H8" s="134"/>
      <c r="I8" s="134"/>
      <c r="J8" s="135"/>
      <c r="K8" s="136"/>
    </row>
    <row r="9" spans="1:12" ht="15.75">
      <c r="A9" s="71"/>
      <c r="B9" s="71"/>
      <c r="C9" s="91"/>
      <c r="D9" s="6" t="s">
        <v>188</v>
      </c>
      <c r="E9" s="91"/>
      <c r="H9" s="55"/>
      <c r="I9" s="55"/>
      <c r="J9" s="55"/>
      <c r="K9" s="56"/>
    </row>
    <row r="10" spans="1:12" ht="15.75">
      <c r="A10" s="69">
        <v>3</v>
      </c>
      <c r="B10" s="69" t="s">
        <v>11</v>
      </c>
      <c r="C10" s="90">
        <v>3</v>
      </c>
      <c r="D10" s="6" t="s">
        <v>189</v>
      </c>
      <c r="E10" s="90" t="s">
        <v>8</v>
      </c>
      <c r="H10" s="55"/>
      <c r="I10" s="55"/>
      <c r="J10" s="55"/>
      <c r="K10" s="56"/>
    </row>
    <row r="11" spans="1:12" ht="15.75">
      <c r="A11" s="71"/>
      <c r="B11" s="71"/>
      <c r="C11" s="91"/>
      <c r="D11" s="6" t="s">
        <v>190</v>
      </c>
      <c r="E11" s="91"/>
    </row>
    <row r="12" spans="1:12" ht="15.75">
      <c r="A12" s="69">
        <v>4</v>
      </c>
      <c r="B12" s="69" t="s">
        <v>7</v>
      </c>
      <c r="C12" s="90">
        <v>44</v>
      </c>
      <c r="D12" s="6" t="s">
        <v>191</v>
      </c>
      <c r="E12" s="90">
        <v>2</v>
      </c>
    </row>
    <row r="13" spans="1:12" ht="15.75">
      <c r="A13" s="70"/>
      <c r="B13" s="70"/>
      <c r="C13" s="105"/>
      <c r="D13" s="6" t="s">
        <v>192</v>
      </c>
      <c r="E13" s="105"/>
    </row>
    <row r="14" spans="1:12" ht="15.75">
      <c r="A14" s="71"/>
      <c r="B14" s="71"/>
      <c r="C14" s="91"/>
      <c r="D14" s="6" t="s">
        <v>193</v>
      </c>
      <c r="E14" s="91"/>
    </row>
    <row r="15" spans="1:12" ht="15.75">
      <c r="A15" s="69">
        <v>5</v>
      </c>
      <c r="B15" s="69" t="s">
        <v>21</v>
      </c>
      <c r="C15" s="90">
        <v>3</v>
      </c>
      <c r="D15" s="6" t="s">
        <v>177</v>
      </c>
      <c r="E15" s="90" t="s">
        <v>8</v>
      </c>
      <c r="L15">
        <v>2</v>
      </c>
    </row>
    <row r="16" spans="1:12" ht="15.75">
      <c r="A16" s="71"/>
      <c r="B16" s="71"/>
      <c r="C16" s="91"/>
      <c r="D16" s="6" t="s">
        <v>190</v>
      </c>
      <c r="E16" s="91"/>
    </row>
    <row r="17" spans="1:5" ht="15.75">
      <c r="A17" s="69">
        <v>6</v>
      </c>
      <c r="B17" s="69" t="s">
        <v>19</v>
      </c>
      <c r="C17" s="90">
        <v>7</v>
      </c>
      <c r="D17" s="6" t="s">
        <v>194</v>
      </c>
      <c r="E17" s="90" t="s">
        <v>8</v>
      </c>
    </row>
    <row r="18" spans="1:5" ht="15.75">
      <c r="A18" s="71"/>
      <c r="B18" s="71"/>
      <c r="C18" s="91"/>
      <c r="D18" s="6" t="s">
        <v>175</v>
      </c>
      <c r="E18" s="91"/>
    </row>
    <row r="19" spans="1:5" ht="15.75">
      <c r="A19" s="2">
        <v>7</v>
      </c>
      <c r="B19" s="2" t="s">
        <v>24</v>
      </c>
      <c r="C19" s="8">
        <v>2</v>
      </c>
      <c r="D19" s="6" t="s">
        <v>173</v>
      </c>
      <c r="E19" s="8" t="s">
        <v>8</v>
      </c>
    </row>
    <row r="20" spans="1:5" ht="15.75">
      <c r="A20" s="2">
        <v>8</v>
      </c>
      <c r="B20" s="2" t="s">
        <v>136</v>
      </c>
      <c r="C20" s="8" t="s">
        <v>8</v>
      </c>
      <c r="D20" s="6" t="s">
        <v>8</v>
      </c>
      <c r="E20" s="8" t="s">
        <v>8</v>
      </c>
    </row>
    <row r="21" spans="1:5" ht="15.75">
      <c r="A21" s="2">
        <v>9</v>
      </c>
      <c r="B21" s="2" t="s">
        <v>17</v>
      </c>
      <c r="C21" s="8" t="s">
        <v>8</v>
      </c>
      <c r="D21" s="6" t="s">
        <v>8</v>
      </c>
      <c r="E21" s="8" t="s">
        <v>8</v>
      </c>
    </row>
    <row r="22" spans="1:5" ht="15.75">
      <c r="A22" s="69">
        <v>10</v>
      </c>
      <c r="B22" s="69" t="s">
        <v>28</v>
      </c>
      <c r="C22" s="8">
        <v>3</v>
      </c>
      <c r="D22" s="6" t="s">
        <v>173</v>
      </c>
      <c r="E22" s="90" t="s">
        <v>8</v>
      </c>
    </row>
    <row r="23" spans="1:5" ht="15.75">
      <c r="A23" s="71"/>
      <c r="B23" s="71"/>
      <c r="C23" s="8"/>
      <c r="D23" s="6" t="s">
        <v>175</v>
      </c>
      <c r="E23" s="91"/>
    </row>
    <row r="24" spans="1:5" ht="15.75">
      <c r="A24" s="69">
        <v>11</v>
      </c>
      <c r="B24" s="69" t="s">
        <v>27</v>
      </c>
      <c r="C24" s="90">
        <v>3</v>
      </c>
      <c r="D24" s="6" t="s">
        <v>173</v>
      </c>
      <c r="E24" s="90" t="s">
        <v>8</v>
      </c>
    </row>
    <row r="25" spans="1:5" ht="15.75">
      <c r="A25" s="71"/>
      <c r="B25" s="71"/>
      <c r="C25" s="91"/>
      <c r="D25" s="6" t="s">
        <v>175</v>
      </c>
      <c r="E25" s="91"/>
    </row>
    <row r="26" spans="1:5" ht="15.75">
      <c r="A26" s="22">
        <v>12</v>
      </c>
      <c r="B26" s="22" t="s">
        <v>18</v>
      </c>
      <c r="C26" s="8" t="s">
        <v>8</v>
      </c>
      <c r="D26" s="6" t="s">
        <v>8</v>
      </c>
      <c r="E26" s="8" t="s">
        <v>8</v>
      </c>
    </row>
    <row r="27" spans="1:5" ht="15.75">
      <c r="A27" s="22">
        <v>13</v>
      </c>
      <c r="B27" s="22" t="s">
        <v>16</v>
      </c>
      <c r="C27" s="8" t="s">
        <v>8</v>
      </c>
      <c r="D27" s="6" t="s">
        <v>8</v>
      </c>
      <c r="E27" s="8" t="s">
        <v>8</v>
      </c>
    </row>
    <row r="28" spans="1:5" ht="15.75">
      <c r="A28" s="22">
        <v>14</v>
      </c>
      <c r="B28" s="22" t="s">
        <v>12</v>
      </c>
      <c r="C28" s="8">
        <v>1</v>
      </c>
      <c r="D28" s="6" t="s">
        <v>179</v>
      </c>
      <c r="E28" s="8" t="s">
        <v>8</v>
      </c>
    </row>
    <row r="29" spans="1:5" ht="15.75">
      <c r="A29" s="22">
        <v>15</v>
      </c>
      <c r="B29" s="22" t="s">
        <v>13</v>
      </c>
      <c r="C29" s="8">
        <v>2</v>
      </c>
      <c r="D29" s="6" t="s">
        <v>195</v>
      </c>
      <c r="E29" s="8" t="s">
        <v>8</v>
      </c>
    </row>
    <row r="30" spans="1:5" ht="15.75">
      <c r="A30" s="22">
        <v>16</v>
      </c>
      <c r="B30" s="22" t="s">
        <v>23</v>
      </c>
      <c r="C30" s="8" t="s">
        <v>8</v>
      </c>
      <c r="D30" s="6" t="s">
        <v>8</v>
      </c>
      <c r="E30" s="8" t="s">
        <v>8</v>
      </c>
    </row>
    <row r="31" spans="1:5">
      <c r="A31" s="128" t="s">
        <v>29</v>
      </c>
      <c r="B31" s="129"/>
      <c r="C31" s="10">
        <f>SUM(C4+C7+C10+C12+C15+C17+C19+C22+C24+C28+C29)</f>
        <v>113</v>
      </c>
      <c r="D31" s="10"/>
      <c r="E31" s="10">
        <f>SUM(E7+E12)</f>
        <v>8</v>
      </c>
    </row>
    <row r="32" spans="1:5" ht="15.75">
      <c r="A32" s="23" t="s">
        <v>181</v>
      </c>
    </row>
  </sheetData>
  <mergeCells count="42">
    <mergeCell ref="H7:H8"/>
    <mergeCell ref="I7:I8"/>
    <mergeCell ref="J7:J8"/>
    <mergeCell ref="K7:K8"/>
    <mergeCell ref="E12:E14"/>
    <mergeCell ref="E15:E16"/>
    <mergeCell ref="E17:E18"/>
    <mergeCell ref="E22:E23"/>
    <mergeCell ref="E24:E25"/>
    <mergeCell ref="D2:D3"/>
    <mergeCell ref="E2:E3"/>
    <mergeCell ref="E4:E6"/>
    <mergeCell ref="E7:E9"/>
    <mergeCell ref="E10:E11"/>
    <mergeCell ref="B15:B16"/>
    <mergeCell ref="B17:B18"/>
    <mergeCell ref="B22:B23"/>
    <mergeCell ref="B24:B25"/>
    <mergeCell ref="C2:C3"/>
    <mergeCell ref="C4:C6"/>
    <mergeCell ref="C7:C9"/>
    <mergeCell ref="C10:C11"/>
    <mergeCell ref="C12:C14"/>
    <mergeCell ref="C15:C16"/>
    <mergeCell ref="C17:C18"/>
    <mergeCell ref="C24:C25"/>
    <mergeCell ref="A1:G1"/>
    <mergeCell ref="A31:B31"/>
    <mergeCell ref="A2:A3"/>
    <mergeCell ref="A4:A6"/>
    <mergeCell ref="A7:A9"/>
    <mergeCell ref="A10:A11"/>
    <mergeCell ref="A12:A14"/>
    <mergeCell ref="A15:A16"/>
    <mergeCell ref="A17:A18"/>
    <mergeCell ref="A22:A23"/>
    <mergeCell ref="A24:A25"/>
    <mergeCell ref="B2:B3"/>
    <mergeCell ref="B4:B6"/>
    <mergeCell ref="B7:B9"/>
    <mergeCell ref="B10:B11"/>
    <mergeCell ref="B12:B14"/>
  </mergeCells>
  <pageMargins left="0.42" right="0.28000000000000003" top="0.75" bottom="0.75" header="0.3" footer="0.3"/>
  <pageSetup paperSize="5" scale="54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topLeftCell="A25" workbookViewId="0">
      <selection activeCell="J18" sqref="J18"/>
    </sheetView>
  </sheetViews>
  <sheetFormatPr defaultColWidth="9" defaultRowHeight="15"/>
  <cols>
    <col min="1" max="1" width="8" customWidth="1"/>
    <col min="2" max="2" width="20.85546875" style="4" customWidth="1"/>
    <col min="3" max="3" width="15.7109375" customWidth="1"/>
    <col min="4" max="4" width="23.42578125" customWidth="1"/>
    <col min="5" max="5" width="25.28515625" customWidth="1"/>
    <col min="6" max="7" width="15.7109375" customWidth="1"/>
    <col min="8" max="8" width="12.140625" customWidth="1"/>
  </cols>
  <sheetData>
    <row r="1" spans="1:8" ht="32.25" customHeight="1">
      <c r="A1" s="137" t="s">
        <v>196</v>
      </c>
      <c r="B1" s="138"/>
      <c r="C1" s="138"/>
      <c r="D1" s="138"/>
      <c r="E1" s="138"/>
      <c r="F1" s="138"/>
      <c r="G1" s="138"/>
    </row>
    <row r="2" spans="1:8" ht="15" customHeight="1">
      <c r="A2" s="67" t="s">
        <v>1</v>
      </c>
      <c r="B2" s="72" t="s">
        <v>2</v>
      </c>
      <c r="C2" s="67" t="s">
        <v>5</v>
      </c>
      <c r="D2" s="92" t="s">
        <v>42</v>
      </c>
      <c r="E2" s="79" t="s">
        <v>4</v>
      </c>
      <c r="F2" s="97" t="s">
        <v>43</v>
      </c>
      <c r="G2" s="97" t="s">
        <v>197</v>
      </c>
      <c r="H2" s="92" t="s">
        <v>198</v>
      </c>
    </row>
    <row r="3" spans="1:8" ht="50.25" customHeight="1">
      <c r="A3" s="68"/>
      <c r="B3" s="72"/>
      <c r="C3" s="68"/>
      <c r="D3" s="93"/>
      <c r="E3" s="79"/>
      <c r="F3" s="98"/>
      <c r="G3" s="98"/>
      <c r="H3" s="93"/>
    </row>
    <row r="4" spans="1:8" ht="18" customHeight="1">
      <c r="A4" s="72">
        <v>1</v>
      </c>
      <c r="B4" s="103" t="s">
        <v>10</v>
      </c>
      <c r="C4" s="90">
        <v>213</v>
      </c>
      <c r="D4" s="16" t="s">
        <v>199</v>
      </c>
      <c r="E4" s="6" t="s">
        <v>200</v>
      </c>
      <c r="F4" s="90">
        <v>132</v>
      </c>
      <c r="G4" s="90">
        <v>34</v>
      </c>
      <c r="H4" s="140">
        <v>15.96</v>
      </c>
    </row>
    <row r="5" spans="1:8" ht="15.75">
      <c r="A5" s="72"/>
      <c r="B5" s="103"/>
      <c r="C5" s="91"/>
      <c r="D5" s="6" t="s">
        <v>201</v>
      </c>
      <c r="E5" s="6" t="s">
        <v>202</v>
      </c>
      <c r="F5" s="91"/>
      <c r="G5" s="91"/>
      <c r="H5" s="141"/>
    </row>
    <row r="6" spans="1:8" ht="15.75">
      <c r="A6" s="72">
        <v>2</v>
      </c>
      <c r="B6" s="104" t="s">
        <v>9</v>
      </c>
      <c r="C6" s="90">
        <v>249</v>
      </c>
      <c r="D6" s="16" t="s">
        <v>199</v>
      </c>
      <c r="E6" s="6" t="s">
        <v>200</v>
      </c>
      <c r="F6" s="90">
        <v>112</v>
      </c>
      <c r="G6" s="90">
        <v>12</v>
      </c>
      <c r="H6" s="140">
        <v>4.8099999999999996</v>
      </c>
    </row>
    <row r="7" spans="1:8" ht="15.75">
      <c r="A7" s="72"/>
      <c r="B7" s="104"/>
      <c r="C7" s="91"/>
      <c r="D7" s="6" t="s">
        <v>201</v>
      </c>
      <c r="E7" s="6" t="s">
        <v>202</v>
      </c>
      <c r="F7" s="91"/>
      <c r="G7" s="91"/>
      <c r="H7" s="141"/>
    </row>
    <row r="8" spans="1:8" ht="15.75">
      <c r="A8" s="1">
        <v>3</v>
      </c>
      <c r="B8" s="15" t="s">
        <v>11</v>
      </c>
      <c r="C8" s="8">
        <v>1</v>
      </c>
      <c r="D8" s="6" t="s">
        <v>203</v>
      </c>
      <c r="E8" s="6" t="s">
        <v>204</v>
      </c>
      <c r="F8" s="8">
        <v>1</v>
      </c>
      <c r="G8" s="8" t="s">
        <v>8</v>
      </c>
      <c r="H8" s="9" t="s">
        <v>8</v>
      </c>
    </row>
    <row r="9" spans="1:8" ht="15.75">
      <c r="A9" s="3">
        <v>4</v>
      </c>
      <c r="B9" s="17" t="s">
        <v>7</v>
      </c>
      <c r="C9" s="8">
        <v>128</v>
      </c>
      <c r="D9" s="6" t="s">
        <v>205</v>
      </c>
      <c r="E9" s="6" t="s">
        <v>206</v>
      </c>
      <c r="F9" s="8">
        <v>35</v>
      </c>
      <c r="G9" s="8">
        <v>9</v>
      </c>
      <c r="H9" s="9">
        <v>7.03</v>
      </c>
    </row>
    <row r="10" spans="1:8" ht="15.75">
      <c r="A10" s="1">
        <v>5</v>
      </c>
      <c r="B10" s="18" t="s">
        <v>21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</row>
    <row r="11" spans="1:8" ht="15.75">
      <c r="A11" s="69">
        <v>6</v>
      </c>
      <c r="B11" s="88" t="s">
        <v>19</v>
      </c>
      <c r="C11" s="90">
        <v>5</v>
      </c>
      <c r="D11" s="6" t="s">
        <v>205</v>
      </c>
      <c r="E11" s="6" t="s">
        <v>202</v>
      </c>
      <c r="F11" s="90">
        <v>6</v>
      </c>
      <c r="G11" s="90">
        <v>4</v>
      </c>
      <c r="H11" s="76">
        <v>4</v>
      </c>
    </row>
    <row r="12" spans="1:8" ht="15.75">
      <c r="A12" s="71"/>
      <c r="B12" s="89"/>
      <c r="C12" s="91"/>
      <c r="D12" s="6" t="s">
        <v>205</v>
      </c>
      <c r="E12" s="6" t="s">
        <v>207</v>
      </c>
      <c r="F12" s="91"/>
      <c r="G12" s="91"/>
      <c r="H12" s="78"/>
    </row>
    <row r="13" spans="1:8" ht="15.75">
      <c r="A13" s="69">
        <v>7</v>
      </c>
      <c r="B13" s="88" t="s">
        <v>24</v>
      </c>
      <c r="C13" s="90">
        <v>5</v>
      </c>
      <c r="D13" s="6" t="s">
        <v>205</v>
      </c>
      <c r="E13" s="6" t="s">
        <v>207</v>
      </c>
      <c r="F13" s="90">
        <v>15</v>
      </c>
      <c r="G13" s="90">
        <v>8</v>
      </c>
      <c r="H13" s="76">
        <v>8</v>
      </c>
    </row>
    <row r="14" spans="1:8" ht="15.75">
      <c r="A14" s="71"/>
      <c r="B14" s="89"/>
      <c r="C14" s="91"/>
      <c r="D14" s="6" t="s">
        <v>205</v>
      </c>
      <c r="E14" s="6" t="s">
        <v>208</v>
      </c>
      <c r="F14" s="91"/>
      <c r="G14" s="91"/>
      <c r="H14" s="78"/>
    </row>
    <row r="15" spans="1:8" ht="15.75">
      <c r="A15" s="2">
        <v>8</v>
      </c>
      <c r="B15" s="18" t="s">
        <v>136</v>
      </c>
      <c r="C15" s="8">
        <v>1</v>
      </c>
      <c r="D15" s="6" t="s">
        <v>205</v>
      </c>
      <c r="E15" s="6" t="s">
        <v>209</v>
      </c>
      <c r="F15" s="8" t="s">
        <v>8</v>
      </c>
      <c r="G15" s="8" t="s">
        <v>8</v>
      </c>
      <c r="H15" s="8" t="s">
        <v>8</v>
      </c>
    </row>
    <row r="16" spans="1:8" ht="15.75">
      <c r="A16" s="2">
        <v>9</v>
      </c>
      <c r="B16" s="18" t="s">
        <v>17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</row>
    <row r="17" spans="1:9" ht="15.75">
      <c r="A17" s="2">
        <v>10</v>
      </c>
      <c r="B17" s="18" t="s">
        <v>28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</row>
    <row r="18" spans="1:9" ht="15.75">
      <c r="A18" s="2">
        <v>11</v>
      </c>
      <c r="B18" s="18" t="s">
        <v>27</v>
      </c>
      <c r="C18" s="8">
        <v>6</v>
      </c>
      <c r="D18" s="6" t="s">
        <v>205</v>
      </c>
      <c r="E18" s="6" t="s">
        <v>202</v>
      </c>
      <c r="F18" s="8">
        <v>19</v>
      </c>
      <c r="G18" s="8">
        <v>7</v>
      </c>
      <c r="H18" s="9">
        <v>7</v>
      </c>
    </row>
    <row r="19" spans="1:9" ht="15.75">
      <c r="A19" s="2">
        <v>12</v>
      </c>
      <c r="B19" s="18" t="s">
        <v>18</v>
      </c>
      <c r="C19" s="8">
        <v>1</v>
      </c>
      <c r="D19" s="6" t="s">
        <v>205</v>
      </c>
      <c r="E19" s="6" t="s">
        <v>209</v>
      </c>
      <c r="F19" s="8">
        <v>8</v>
      </c>
      <c r="G19" s="8" t="s">
        <v>8</v>
      </c>
      <c r="H19" s="8" t="s">
        <v>8</v>
      </c>
    </row>
    <row r="20" spans="1:9" ht="15.75">
      <c r="A20" s="2">
        <v>13</v>
      </c>
      <c r="B20" s="18" t="s">
        <v>16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</row>
    <row r="21" spans="1:9" ht="15.75">
      <c r="A21" s="2">
        <v>14</v>
      </c>
      <c r="B21" s="18" t="s">
        <v>12</v>
      </c>
      <c r="C21" s="8">
        <v>1</v>
      </c>
      <c r="D21" s="6" t="s">
        <v>205</v>
      </c>
      <c r="E21" s="6" t="s">
        <v>204</v>
      </c>
      <c r="F21" s="8" t="s">
        <v>8</v>
      </c>
      <c r="G21" s="8" t="s">
        <v>8</v>
      </c>
      <c r="H21" s="8" t="s">
        <v>8</v>
      </c>
    </row>
    <row r="22" spans="1:9" ht="15.75">
      <c r="A22" s="2">
        <v>15</v>
      </c>
      <c r="B22" s="18" t="s">
        <v>13</v>
      </c>
      <c r="C22" s="8">
        <v>3</v>
      </c>
      <c r="D22" s="6" t="s">
        <v>205</v>
      </c>
      <c r="E22" s="6" t="s">
        <v>207</v>
      </c>
      <c r="F22" s="8">
        <v>17</v>
      </c>
      <c r="G22" s="8">
        <v>3</v>
      </c>
      <c r="H22" s="9">
        <v>3</v>
      </c>
    </row>
    <row r="23" spans="1:9" ht="15.75">
      <c r="A23" s="2">
        <v>16</v>
      </c>
      <c r="B23" s="18" t="s">
        <v>23</v>
      </c>
      <c r="C23" s="8">
        <v>1</v>
      </c>
      <c r="D23" s="6" t="s">
        <v>203</v>
      </c>
      <c r="E23" s="6" t="s">
        <v>202</v>
      </c>
      <c r="F23" s="8">
        <v>1</v>
      </c>
      <c r="G23" s="8">
        <v>1</v>
      </c>
      <c r="H23" s="9">
        <v>1</v>
      </c>
    </row>
    <row r="24" spans="1:9" ht="15.75">
      <c r="A24" s="72" t="s">
        <v>29</v>
      </c>
      <c r="B24" s="72"/>
      <c r="C24" s="11">
        <f>SUM(C4:C23)</f>
        <v>614</v>
      </c>
      <c r="D24" s="20"/>
      <c r="E24" s="20"/>
      <c r="F24" s="11">
        <f>SUM(F4:F23)</f>
        <v>346</v>
      </c>
      <c r="G24" s="11">
        <f>SUM(G4:G23)</f>
        <v>78</v>
      </c>
      <c r="H24" s="21">
        <f>G24/F24*100</f>
        <v>22.543352601156101</v>
      </c>
    </row>
    <row r="25" spans="1:9" ht="15.75">
      <c r="A25" s="139" t="s">
        <v>210</v>
      </c>
      <c r="B25" s="139"/>
      <c r="C25" s="139"/>
      <c r="D25" s="139"/>
      <c r="E25" s="13"/>
      <c r="F25" s="14"/>
      <c r="G25" s="14"/>
    </row>
    <row r="26" spans="1:9">
      <c r="A26" t="s">
        <v>211</v>
      </c>
    </row>
    <row r="27" spans="1:9">
      <c r="A27" s="115"/>
      <c r="B27" s="115"/>
      <c r="C27" s="115"/>
      <c r="D27" s="115"/>
      <c r="E27" s="115"/>
      <c r="F27" s="115"/>
      <c r="G27" s="115"/>
      <c r="H27" s="115"/>
      <c r="I27" s="115"/>
    </row>
  </sheetData>
  <mergeCells count="36">
    <mergeCell ref="H2:H3"/>
    <mergeCell ref="H4:H5"/>
    <mergeCell ref="H6:H7"/>
    <mergeCell ref="H11:H12"/>
    <mergeCell ref="H13:H14"/>
    <mergeCell ref="G2:G3"/>
    <mergeCell ref="G4:G5"/>
    <mergeCell ref="G6:G7"/>
    <mergeCell ref="G11:G12"/>
    <mergeCell ref="G13:G14"/>
    <mergeCell ref="F2:F3"/>
    <mergeCell ref="F4:F5"/>
    <mergeCell ref="F6:F7"/>
    <mergeCell ref="F11:F12"/>
    <mergeCell ref="F13:F14"/>
    <mergeCell ref="C6:C7"/>
    <mergeCell ref="C11:C12"/>
    <mergeCell ref="C13:C14"/>
    <mergeCell ref="D2:D3"/>
    <mergeCell ref="E2:E3"/>
    <mergeCell ref="A1:G1"/>
    <mergeCell ref="A24:B24"/>
    <mergeCell ref="A25:D25"/>
    <mergeCell ref="A27:I27"/>
    <mergeCell ref="A2:A3"/>
    <mergeCell ref="A4:A5"/>
    <mergeCell ref="A6:A7"/>
    <mergeCell ref="A11:A12"/>
    <mergeCell ref="A13:A14"/>
    <mergeCell ref="B2:B3"/>
    <mergeCell ref="B4:B5"/>
    <mergeCell ref="B6:B7"/>
    <mergeCell ref="B11:B12"/>
    <mergeCell ref="B13:B14"/>
    <mergeCell ref="C2:C3"/>
    <mergeCell ref="C4:C5"/>
  </mergeCells>
  <pageMargins left="0.7" right="0.7" top="0.75" bottom="0.75" header="0.3" footer="0.3"/>
  <pageSetup paperSize="5" scale="54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topLeftCell="A31" workbookViewId="0">
      <selection activeCell="E35" sqref="E35"/>
    </sheetView>
  </sheetViews>
  <sheetFormatPr defaultColWidth="9" defaultRowHeight="15"/>
  <cols>
    <col min="1" max="1" width="8" customWidth="1"/>
    <col min="2" max="2" width="20.85546875" style="4" customWidth="1"/>
    <col min="3" max="3" width="15.7109375" customWidth="1"/>
    <col min="4" max="4" width="23.140625" customWidth="1"/>
    <col min="5" max="5" width="26.140625" customWidth="1"/>
    <col min="6" max="7" width="15.7109375" customWidth="1"/>
    <col min="8" max="8" width="12.140625" customWidth="1"/>
  </cols>
  <sheetData>
    <row r="1" spans="1:8" ht="32.25" customHeight="1">
      <c r="A1" s="137" t="s">
        <v>212</v>
      </c>
      <c r="B1" s="138"/>
      <c r="C1" s="138"/>
      <c r="D1" s="138"/>
      <c r="E1" s="138"/>
      <c r="F1" s="138"/>
      <c r="G1" s="138"/>
    </row>
    <row r="2" spans="1:8" ht="15" customHeight="1">
      <c r="A2" s="67" t="s">
        <v>1</v>
      </c>
      <c r="B2" s="72" t="s">
        <v>2</v>
      </c>
      <c r="C2" s="67" t="s">
        <v>5</v>
      </c>
      <c r="D2" s="92" t="s">
        <v>42</v>
      </c>
      <c r="E2" s="79" t="s">
        <v>4</v>
      </c>
      <c r="F2" s="97" t="s">
        <v>43</v>
      </c>
      <c r="G2" s="97" t="s">
        <v>197</v>
      </c>
      <c r="H2" s="92" t="s">
        <v>198</v>
      </c>
    </row>
    <row r="3" spans="1:8" ht="50.25" customHeight="1">
      <c r="A3" s="68"/>
      <c r="B3" s="72"/>
      <c r="C3" s="68"/>
      <c r="D3" s="93"/>
      <c r="E3" s="79"/>
      <c r="F3" s="98"/>
      <c r="G3" s="98"/>
      <c r="H3" s="93"/>
    </row>
    <row r="4" spans="1:8" ht="15.75">
      <c r="A4" s="69">
        <v>1</v>
      </c>
      <c r="B4" s="72" t="s">
        <v>10</v>
      </c>
      <c r="C4" s="90">
        <v>103</v>
      </c>
      <c r="D4" s="6" t="s">
        <v>203</v>
      </c>
      <c r="E4" s="6" t="s">
        <v>200</v>
      </c>
      <c r="F4" s="90">
        <v>89</v>
      </c>
      <c r="G4" s="90">
        <v>31</v>
      </c>
      <c r="H4" s="140">
        <v>30.09</v>
      </c>
    </row>
    <row r="5" spans="1:8" ht="15.75">
      <c r="A5" s="70"/>
      <c r="B5" s="72"/>
      <c r="C5" s="105"/>
      <c r="D5" s="6" t="s">
        <v>213</v>
      </c>
      <c r="E5" s="6" t="s">
        <v>202</v>
      </c>
      <c r="F5" s="105"/>
      <c r="G5" s="105"/>
      <c r="H5" s="147"/>
    </row>
    <row r="6" spans="1:8" ht="15.75">
      <c r="A6" s="71"/>
      <c r="B6" s="72"/>
      <c r="C6" s="91"/>
      <c r="D6" s="6" t="s">
        <v>214</v>
      </c>
      <c r="E6" s="6" t="s">
        <v>215</v>
      </c>
      <c r="F6" s="91"/>
      <c r="G6" s="91"/>
      <c r="H6" s="141"/>
    </row>
    <row r="7" spans="1:8" ht="15.75">
      <c r="A7" s="69">
        <v>2</v>
      </c>
      <c r="B7" s="69" t="s">
        <v>9</v>
      </c>
      <c r="C7" s="94">
        <v>113</v>
      </c>
      <c r="D7" s="6" t="s">
        <v>216</v>
      </c>
      <c r="E7" s="6" t="s">
        <v>200</v>
      </c>
      <c r="F7" s="90">
        <v>47</v>
      </c>
      <c r="G7" s="90">
        <v>24</v>
      </c>
      <c r="H7" s="140">
        <v>21.23</v>
      </c>
    </row>
    <row r="8" spans="1:8" ht="15.75">
      <c r="A8" s="70"/>
      <c r="B8" s="70"/>
      <c r="C8" s="144"/>
      <c r="D8" s="6" t="s">
        <v>217</v>
      </c>
      <c r="E8" s="6" t="s">
        <v>202</v>
      </c>
      <c r="F8" s="105"/>
      <c r="G8" s="105"/>
      <c r="H8" s="147"/>
    </row>
    <row r="9" spans="1:8" ht="15.75">
      <c r="A9" s="71"/>
      <c r="B9" s="71"/>
      <c r="C9" s="95"/>
      <c r="D9" s="6" t="s">
        <v>203</v>
      </c>
      <c r="E9" s="6" t="s">
        <v>215</v>
      </c>
      <c r="F9" s="91"/>
      <c r="G9" s="91"/>
      <c r="H9" s="141"/>
    </row>
    <row r="10" spans="1:8" ht="15.75">
      <c r="A10" s="2">
        <v>3</v>
      </c>
      <c r="B10" s="2" t="s">
        <v>11</v>
      </c>
      <c r="C10" s="8">
        <v>1</v>
      </c>
      <c r="D10" s="6" t="s">
        <v>218</v>
      </c>
      <c r="E10" s="6" t="s">
        <v>219</v>
      </c>
      <c r="F10" s="8">
        <v>1</v>
      </c>
      <c r="G10" s="8" t="s">
        <v>8</v>
      </c>
      <c r="H10" s="9" t="s">
        <v>8</v>
      </c>
    </row>
    <row r="11" spans="1:8" ht="15.75">
      <c r="A11" s="2">
        <v>4</v>
      </c>
      <c r="B11" s="2" t="s">
        <v>7</v>
      </c>
      <c r="C11" s="8">
        <v>109</v>
      </c>
      <c r="D11" s="6" t="s">
        <v>205</v>
      </c>
      <c r="E11" s="6" t="s">
        <v>206</v>
      </c>
      <c r="F11" s="8">
        <v>114</v>
      </c>
      <c r="G11" s="8">
        <v>13</v>
      </c>
      <c r="H11" s="10">
        <v>11.92</v>
      </c>
    </row>
    <row r="12" spans="1:8" ht="15.75">
      <c r="A12" s="2">
        <v>5</v>
      </c>
      <c r="B12" s="2" t="s">
        <v>21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</row>
    <row r="13" spans="1:8" ht="15.75">
      <c r="A13" s="69">
        <v>6</v>
      </c>
      <c r="B13" s="69" t="s">
        <v>19</v>
      </c>
      <c r="C13" s="145">
        <v>7</v>
      </c>
      <c r="D13" s="6" t="s">
        <v>205</v>
      </c>
      <c r="E13" s="6" t="s">
        <v>202</v>
      </c>
      <c r="F13" s="90">
        <v>6</v>
      </c>
      <c r="G13" s="90" t="s">
        <v>8</v>
      </c>
      <c r="H13" s="140">
        <v>7</v>
      </c>
    </row>
    <row r="14" spans="1:8" ht="15.75">
      <c r="A14" s="71"/>
      <c r="B14" s="71"/>
      <c r="C14" s="146"/>
      <c r="D14" s="6" t="s">
        <v>205</v>
      </c>
      <c r="E14" s="6" t="s">
        <v>207</v>
      </c>
      <c r="F14" s="91"/>
      <c r="G14" s="91"/>
      <c r="H14" s="141"/>
    </row>
    <row r="15" spans="1:8" ht="15.75">
      <c r="A15" s="69">
        <v>7</v>
      </c>
      <c r="B15" s="69" t="s">
        <v>24</v>
      </c>
      <c r="C15" s="90">
        <v>5</v>
      </c>
      <c r="D15" s="6" t="s">
        <v>205</v>
      </c>
      <c r="E15" s="6" t="s">
        <v>207</v>
      </c>
      <c r="F15" s="90">
        <v>7</v>
      </c>
      <c r="G15" s="90" t="s">
        <v>8</v>
      </c>
      <c r="H15" s="140">
        <v>5</v>
      </c>
    </row>
    <row r="16" spans="1:8" ht="15.75">
      <c r="A16" s="71"/>
      <c r="B16" s="71"/>
      <c r="C16" s="91"/>
      <c r="D16" s="6" t="s">
        <v>205</v>
      </c>
      <c r="E16" s="6" t="s">
        <v>200</v>
      </c>
      <c r="F16" s="91"/>
      <c r="G16" s="91"/>
      <c r="H16" s="141"/>
    </row>
    <row r="17" spans="1:9" ht="15.75">
      <c r="A17" s="69">
        <v>8</v>
      </c>
      <c r="B17" s="69" t="s">
        <v>136</v>
      </c>
      <c r="C17" s="90">
        <v>11</v>
      </c>
      <c r="D17" s="6" t="s">
        <v>205</v>
      </c>
      <c r="E17" s="6" t="s">
        <v>220</v>
      </c>
      <c r="F17" s="8">
        <v>10</v>
      </c>
      <c r="G17" s="8" t="s">
        <v>8</v>
      </c>
      <c r="H17" s="10">
        <v>3</v>
      </c>
    </row>
    <row r="18" spans="1:9" ht="15.75">
      <c r="A18" s="71"/>
      <c r="B18" s="71"/>
      <c r="C18" s="91"/>
      <c r="D18" s="6" t="s">
        <v>205</v>
      </c>
      <c r="E18" s="6" t="s">
        <v>200</v>
      </c>
      <c r="F18" s="8"/>
      <c r="G18" s="8"/>
      <c r="H18" s="10"/>
    </row>
    <row r="19" spans="1:9" ht="15.75">
      <c r="A19" s="2">
        <v>9</v>
      </c>
      <c r="B19" s="2" t="s">
        <v>17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</row>
    <row r="20" spans="1:9" ht="15.75">
      <c r="A20" s="2">
        <v>10</v>
      </c>
      <c r="B20" s="2" t="s">
        <v>28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</row>
    <row r="21" spans="1:9" ht="15.75">
      <c r="A21" s="2">
        <v>11</v>
      </c>
      <c r="B21" s="2" t="s">
        <v>27</v>
      </c>
      <c r="C21" s="8">
        <v>1</v>
      </c>
      <c r="D21" s="6" t="s">
        <v>203</v>
      </c>
      <c r="E21" s="6" t="s">
        <v>215</v>
      </c>
      <c r="F21" s="8">
        <v>1</v>
      </c>
      <c r="G21" s="8" t="s">
        <v>8</v>
      </c>
      <c r="H21" s="9" t="s">
        <v>8</v>
      </c>
    </row>
    <row r="22" spans="1:9" ht="15.75">
      <c r="A22" s="2">
        <v>12</v>
      </c>
      <c r="B22" s="2" t="s">
        <v>18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  <c r="H22" s="8" t="s">
        <v>8</v>
      </c>
    </row>
    <row r="23" spans="1:9" ht="15.75">
      <c r="A23" s="2">
        <v>13</v>
      </c>
      <c r="B23" s="2" t="s">
        <v>16</v>
      </c>
      <c r="C23" s="8">
        <v>1</v>
      </c>
      <c r="D23" s="6" t="s">
        <v>205</v>
      </c>
      <c r="E23" s="6" t="s">
        <v>218</v>
      </c>
      <c r="F23" s="8" t="s">
        <v>8</v>
      </c>
      <c r="G23" s="8">
        <v>8</v>
      </c>
      <c r="H23" s="9">
        <v>8</v>
      </c>
    </row>
    <row r="24" spans="1:9" ht="15.75">
      <c r="A24" s="2">
        <v>14</v>
      </c>
      <c r="B24" s="2" t="s">
        <v>12</v>
      </c>
      <c r="C24" s="8" t="s">
        <v>8</v>
      </c>
      <c r="D24" s="8" t="s">
        <v>8</v>
      </c>
      <c r="E24" s="8" t="s">
        <v>8</v>
      </c>
      <c r="F24" s="8" t="s">
        <v>8</v>
      </c>
      <c r="G24" s="8" t="s">
        <v>8</v>
      </c>
      <c r="H24" s="8" t="s">
        <v>8</v>
      </c>
    </row>
    <row r="25" spans="1:9" ht="15.75">
      <c r="A25" s="2">
        <v>15</v>
      </c>
      <c r="B25" s="2" t="s">
        <v>13</v>
      </c>
      <c r="C25" s="8">
        <v>2</v>
      </c>
      <c r="D25" s="6" t="s">
        <v>218</v>
      </c>
      <c r="E25" s="6" t="s">
        <v>204</v>
      </c>
      <c r="F25" s="8">
        <v>6</v>
      </c>
      <c r="G25" s="8" t="s">
        <v>8</v>
      </c>
      <c r="H25" s="9" t="s">
        <v>8</v>
      </c>
    </row>
    <row r="26" spans="1:9" ht="15.75">
      <c r="A26" s="2">
        <v>16</v>
      </c>
      <c r="B26" s="2" t="s">
        <v>23</v>
      </c>
      <c r="C26" s="8">
        <v>4</v>
      </c>
      <c r="D26" s="6" t="s">
        <v>218</v>
      </c>
      <c r="E26" s="6" t="s">
        <v>202</v>
      </c>
      <c r="F26" s="8">
        <v>4</v>
      </c>
      <c r="G26" s="8" t="s">
        <v>8</v>
      </c>
      <c r="H26" s="9">
        <v>3</v>
      </c>
    </row>
    <row r="27" spans="1:9" ht="15.75">
      <c r="A27" s="72" t="s">
        <v>29</v>
      </c>
      <c r="B27" s="72"/>
      <c r="C27" s="11">
        <f>SUM(C4:C26)</f>
        <v>357</v>
      </c>
      <c r="D27" s="142"/>
      <c r="E27" s="143"/>
      <c r="F27" s="11">
        <f>SUM(F4:F26)</f>
        <v>285</v>
      </c>
      <c r="G27" s="11">
        <f>SUM(G4:G26)</f>
        <v>76</v>
      </c>
      <c r="H27" s="12">
        <f>G27/F27*100</f>
        <v>26.6666666666667</v>
      </c>
    </row>
    <row r="28" spans="1:9" ht="15.75">
      <c r="A28" s="139" t="s">
        <v>210</v>
      </c>
      <c r="B28" s="139"/>
      <c r="C28" s="139"/>
      <c r="D28" s="139"/>
      <c r="E28" s="13"/>
      <c r="F28" s="14"/>
      <c r="G28" s="14"/>
    </row>
    <row r="29" spans="1:9">
      <c r="A29" t="s">
        <v>211</v>
      </c>
    </row>
    <row r="30" spans="1:9">
      <c r="A30" s="115" t="s">
        <v>221</v>
      </c>
      <c r="B30" s="115"/>
      <c r="C30" s="115"/>
      <c r="D30" s="115"/>
      <c r="E30" s="115"/>
      <c r="F30" s="115"/>
      <c r="G30" s="115"/>
      <c r="H30" s="115"/>
      <c r="I30" s="115"/>
    </row>
    <row r="31" spans="1:9">
      <c r="A31" s="115"/>
      <c r="B31" s="115"/>
      <c r="C31" s="115"/>
      <c r="D31" s="115"/>
      <c r="E31" s="115"/>
      <c r="F31" s="115"/>
      <c r="G31" s="115"/>
      <c r="H31" s="115"/>
      <c r="I31" s="115"/>
    </row>
  </sheetData>
  <mergeCells count="40">
    <mergeCell ref="A30:I31"/>
    <mergeCell ref="H2:H3"/>
    <mergeCell ref="H4:H6"/>
    <mergeCell ref="H7:H9"/>
    <mergeCell ref="H13:H14"/>
    <mergeCell ref="H15:H16"/>
    <mergeCell ref="G2:G3"/>
    <mergeCell ref="G4:G6"/>
    <mergeCell ref="G7:G9"/>
    <mergeCell ref="G13:G14"/>
    <mergeCell ref="G15:G16"/>
    <mergeCell ref="C17:C18"/>
    <mergeCell ref="D2:D3"/>
    <mergeCell ref="E2:E3"/>
    <mergeCell ref="F2:F3"/>
    <mergeCell ref="F4:F6"/>
    <mergeCell ref="F7:F9"/>
    <mergeCell ref="F13:F14"/>
    <mergeCell ref="F15:F16"/>
    <mergeCell ref="C2:C3"/>
    <mergeCell ref="C4:C6"/>
    <mergeCell ref="C7:C9"/>
    <mergeCell ref="C13:C14"/>
    <mergeCell ref="C15:C16"/>
    <mergeCell ref="A1:G1"/>
    <mergeCell ref="A27:B27"/>
    <mergeCell ref="D27:E27"/>
    <mergeCell ref="A28:D28"/>
    <mergeCell ref="A2:A3"/>
    <mergeCell ref="A4:A6"/>
    <mergeCell ref="A7:A9"/>
    <mergeCell ref="A13:A14"/>
    <mergeCell ref="A15:A16"/>
    <mergeCell ref="A17:A18"/>
    <mergeCell ref="B2:B3"/>
    <mergeCell ref="B4:B6"/>
    <mergeCell ref="B7:B9"/>
    <mergeCell ref="B13:B14"/>
    <mergeCell ref="B15:B16"/>
    <mergeCell ref="B17:B18"/>
  </mergeCells>
  <pageMargins left="0.7" right="0.7" top="0.75" bottom="0.75" header="0.3" footer="0.3"/>
  <pageSetup paperSize="5" scale="54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selection activeCell="H16" sqref="H16"/>
    </sheetView>
  </sheetViews>
  <sheetFormatPr defaultColWidth="9" defaultRowHeight="15"/>
  <cols>
    <col min="4" max="4" width="16.85546875" customWidth="1"/>
    <col min="5" max="5" width="17" customWidth="1"/>
  </cols>
  <sheetData>
    <row r="1" spans="1:8">
      <c r="A1" s="50"/>
      <c r="B1" s="50"/>
      <c r="C1" s="50"/>
      <c r="D1" s="50"/>
      <c r="E1" s="50"/>
      <c r="F1" s="50"/>
      <c r="G1" s="50"/>
      <c r="H1" s="50"/>
    </row>
    <row r="2" spans="1:8" ht="15.75">
      <c r="A2" s="51"/>
      <c r="B2" s="51"/>
      <c r="C2" s="51"/>
      <c r="D2" s="50"/>
      <c r="E2" s="50"/>
      <c r="F2" s="50"/>
      <c r="G2" s="50"/>
      <c r="H2" s="50"/>
    </row>
    <row r="3" spans="1:8" ht="15.75">
      <c r="A3" s="51"/>
      <c r="B3" s="51"/>
      <c r="C3" s="51"/>
      <c r="D3" s="50"/>
      <c r="E3" s="50"/>
      <c r="F3" s="50"/>
      <c r="G3" s="50"/>
      <c r="H3" s="50"/>
    </row>
    <row r="4" spans="1:8" ht="15.75">
      <c r="A4" s="51"/>
      <c r="B4" s="51"/>
      <c r="C4" s="53"/>
      <c r="D4" s="50"/>
      <c r="E4" s="50"/>
      <c r="F4" s="50"/>
      <c r="G4" s="50"/>
      <c r="H4" s="50"/>
    </row>
    <row r="5" spans="1:8" ht="15.75">
      <c r="A5" s="53"/>
      <c r="B5" s="53"/>
      <c r="C5" s="53"/>
      <c r="D5" s="50"/>
      <c r="E5" s="50"/>
      <c r="F5" s="50"/>
      <c r="G5" s="50"/>
      <c r="H5" s="50"/>
    </row>
    <row r="6" spans="1:8">
      <c r="A6" s="50"/>
      <c r="B6" s="57"/>
      <c r="C6" s="50"/>
      <c r="D6" s="50"/>
      <c r="E6" s="50"/>
      <c r="F6" s="50"/>
      <c r="G6" s="50"/>
      <c r="H6" s="50"/>
    </row>
    <row r="7" spans="1:8">
      <c r="A7" s="50"/>
      <c r="B7" s="50"/>
      <c r="C7" s="50"/>
      <c r="D7" s="50"/>
      <c r="E7" s="50"/>
      <c r="F7" s="50"/>
      <c r="G7" s="50"/>
      <c r="H7" s="50"/>
    </row>
    <row r="8" spans="1:8">
      <c r="A8" s="50"/>
      <c r="B8" s="50"/>
      <c r="C8" s="50"/>
      <c r="D8" s="50"/>
      <c r="E8" s="50"/>
      <c r="F8" s="50"/>
      <c r="G8" s="50"/>
      <c r="H8" s="50"/>
    </row>
    <row r="9" spans="1:8">
      <c r="A9" s="50"/>
      <c r="B9" s="50"/>
      <c r="C9" s="50"/>
      <c r="D9" s="50"/>
      <c r="E9" s="50"/>
      <c r="F9" s="50"/>
      <c r="G9" s="50"/>
      <c r="H9" s="50"/>
    </row>
    <row r="10" spans="1:8">
      <c r="A10" s="50"/>
      <c r="B10" s="50"/>
      <c r="C10" s="148"/>
      <c r="D10" s="149"/>
      <c r="E10" s="148"/>
      <c r="F10" s="50"/>
      <c r="G10" s="50"/>
      <c r="H10" s="50"/>
    </row>
    <row r="11" spans="1:8">
      <c r="A11" s="50"/>
      <c r="B11" s="50"/>
      <c r="C11" s="148"/>
      <c r="D11" s="149"/>
      <c r="E11" s="148"/>
      <c r="F11" s="50"/>
      <c r="G11" s="50"/>
      <c r="H11" s="50"/>
    </row>
    <row r="12" spans="1:8">
      <c r="A12" s="50"/>
      <c r="B12" s="50"/>
      <c r="C12" s="149"/>
      <c r="D12" s="149"/>
      <c r="E12" s="58"/>
      <c r="F12" s="50"/>
      <c r="G12" s="50"/>
      <c r="H12" s="50"/>
    </row>
    <row r="13" spans="1:8">
      <c r="A13" s="50"/>
      <c r="B13" s="50"/>
      <c r="C13" s="149"/>
      <c r="D13" s="149"/>
      <c r="E13" s="50"/>
      <c r="F13" s="50"/>
      <c r="G13" s="50"/>
      <c r="H13" s="50"/>
    </row>
    <row r="14" spans="1:8">
      <c r="A14" s="50"/>
      <c r="B14" s="50"/>
      <c r="C14" s="149"/>
      <c r="D14" s="149"/>
      <c r="E14" s="50"/>
      <c r="F14" s="50"/>
      <c r="G14" s="50"/>
      <c r="H14" s="50"/>
    </row>
    <row r="15" spans="1:8">
      <c r="A15" s="50"/>
      <c r="B15" s="50"/>
      <c r="C15" s="149"/>
      <c r="D15" s="149"/>
      <c r="E15" s="50"/>
      <c r="F15" s="50"/>
      <c r="G15" s="50"/>
      <c r="H15" s="50"/>
    </row>
    <row r="16" spans="1:8">
      <c r="A16" s="50"/>
      <c r="B16" s="50"/>
      <c r="C16" s="149"/>
      <c r="D16" s="149"/>
      <c r="E16" s="50"/>
      <c r="F16" s="50"/>
      <c r="G16" s="50"/>
      <c r="H16" s="50"/>
    </row>
    <row r="17" spans="1:8">
      <c r="A17" s="50"/>
      <c r="B17" s="50"/>
      <c r="C17" s="149"/>
      <c r="D17" s="149"/>
      <c r="E17" s="50"/>
      <c r="F17" s="50"/>
      <c r="G17" s="50"/>
      <c r="H17" s="50"/>
    </row>
    <row r="18" spans="1:8">
      <c r="A18" s="50"/>
      <c r="B18" s="50"/>
      <c r="C18" s="149"/>
      <c r="D18" s="149"/>
      <c r="E18" s="50"/>
      <c r="F18" s="50"/>
      <c r="G18" s="50"/>
      <c r="H18" s="50"/>
    </row>
    <row r="19" spans="1:8">
      <c r="A19" s="50"/>
      <c r="B19" s="50"/>
      <c r="C19" s="149"/>
      <c r="D19" s="149"/>
      <c r="E19" s="50"/>
      <c r="F19" s="50"/>
      <c r="G19" s="50"/>
      <c r="H19" s="50"/>
    </row>
    <row r="20" spans="1:8">
      <c r="A20" s="50"/>
      <c r="B20" s="50"/>
      <c r="C20" s="149"/>
      <c r="D20" s="149"/>
      <c r="E20" s="50"/>
      <c r="F20" s="50"/>
      <c r="G20" s="50"/>
      <c r="H20" s="50"/>
    </row>
    <row r="21" spans="1:8">
      <c r="A21" s="50"/>
      <c r="B21" s="50"/>
      <c r="C21" s="149"/>
      <c r="D21" s="149"/>
      <c r="E21" s="50"/>
      <c r="F21" s="50"/>
      <c r="G21" s="50"/>
      <c r="H21" s="50"/>
    </row>
    <row r="22" spans="1:8">
      <c r="A22" s="50"/>
      <c r="B22" s="50"/>
      <c r="C22" s="149"/>
      <c r="D22" s="149"/>
      <c r="E22" s="50"/>
      <c r="F22" s="50"/>
      <c r="G22" s="50"/>
      <c r="H22" s="50"/>
    </row>
    <row r="23" spans="1:8">
      <c r="A23" s="50"/>
      <c r="B23" s="50"/>
      <c r="C23" s="149"/>
      <c r="D23" s="149"/>
      <c r="E23" s="50"/>
      <c r="F23" s="50"/>
      <c r="G23" s="50"/>
      <c r="H23" s="50"/>
    </row>
    <row r="25" spans="1:8">
      <c r="B25" s="50"/>
      <c r="C25" s="121"/>
      <c r="D25" s="123"/>
      <c r="E25" s="121"/>
      <c r="F25" s="50"/>
    </row>
    <row r="26" spans="1:8">
      <c r="B26" s="50"/>
      <c r="C26" s="121"/>
      <c r="D26" s="123"/>
      <c r="E26" s="121"/>
      <c r="F26" s="50"/>
    </row>
    <row r="27" spans="1:8">
      <c r="B27" s="50"/>
      <c r="C27" s="50"/>
      <c r="D27" s="123"/>
      <c r="E27" s="50"/>
      <c r="F27" s="50"/>
    </row>
    <row r="28" spans="1:8">
      <c r="B28" s="50"/>
      <c r="C28" s="50"/>
      <c r="D28" s="123"/>
      <c r="E28" s="50"/>
      <c r="F28" s="50"/>
    </row>
    <row r="29" spans="1:8">
      <c r="B29" s="50"/>
      <c r="C29" s="50"/>
      <c r="D29" s="123"/>
      <c r="E29" s="50"/>
      <c r="F29" s="50"/>
    </row>
    <row r="30" spans="1:8">
      <c r="B30" s="50"/>
      <c r="C30" s="50"/>
      <c r="D30" s="50"/>
      <c r="E30" s="50"/>
      <c r="F30" s="50"/>
    </row>
    <row r="31" spans="1:8">
      <c r="B31" s="50"/>
      <c r="C31" s="50"/>
      <c r="D31" s="50"/>
      <c r="E31" s="50"/>
      <c r="F31" s="50"/>
    </row>
  </sheetData>
  <mergeCells count="15">
    <mergeCell ref="D27:D29"/>
    <mergeCell ref="E10:E11"/>
    <mergeCell ref="E25:E26"/>
    <mergeCell ref="C25:C26"/>
    <mergeCell ref="D10:D11"/>
    <mergeCell ref="D12:D16"/>
    <mergeCell ref="D17:D18"/>
    <mergeCell ref="D19:D21"/>
    <mergeCell ref="D22:D23"/>
    <mergeCell ref="D25:D26"/>
    <mergeCell ref="C10:C11"/>
    <mergeCell ref="C12:C16"/>
    <mergeCell ref="C17:C18"/>
    <mergeCell ref="C19:C21"/>
    <mergeCell ref="C22:C2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Power 1</vt:lpstr>
      <vt:lpstr>Power 2</vt:lpstr>
      <vt:lpstr>Power Electrocution 1</vt:lpstr>
      <vt:lpstr>Power Electrocution 2</vt:lpstr>
      <vt:lpstr>SDRF2022-23</vt:lpstr>
      <vt:lpstr>SDRF2023-24</vt:lpstr>
      <vt:lpstr>Agri</vt:lpstr>
      <vt:lpstr>Agri (2)</vt:lpstr>
      <vt:lpstr>Horti2022-23</vt:lpstr>
      <vt:lpstr>Horti2023-24</vt:lpstr>
      <vt:lpstr>LandResource</vt:lpstr>
      <vt:lpstr>F&amp;ES2022-23</vt:lpstr>
      <vt:lpstr>F&amp;ES23-24</vt:lpstr>
      <vt:lpstr>PHQ</vt:lpstr>
      <vt:lpstr>PHQ2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Gender</dc:creator>
  <cp:lastModifiedBy>001</cp:lastModifiedBy>
  <dcterms:created xsi:type="dcterms:W3CDTF">2010-12-31T19:58:00Z</dcterms:created>
  <dcterms:modified xsi:type="dcterms:W3CDTF">2025-03-11T06:49:10Z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F1791A53B93840959951F22BF03B2AA6_12</vt:lpwstr>
  </property>
  <property fmtid="{D5CDD505-2E9C-101B-9397-08002B2CF9AE}" pid="3" name="KSOProductBuildVer">
    <vt:lpwstr>2057-12.2.0.19821</vt:lpwstr>
  </property>
</Properties>
</file>