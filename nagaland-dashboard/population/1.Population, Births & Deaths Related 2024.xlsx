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15600" windowHeight="7980" activeTab="7"/>
  </bookViews>
  <sheets>
    <sheet name="P-1" sheetId="2" r:id="rId1"/>
    <sheet name="P-2" sheetId="3" r:id="rId2"/>
    <sheet name="P-3" sheetId="4" r:id="rId3"/>
    <sheet name="p-4" sheetId="13" r:id="rId4"/>
    <sheet name="P-5" sheetId="5" r:id="rId5"/>
    <sheet name="P-6" sheetId="6" r:id="rId6"/>
    <sheet name="P-7" sheetId="8" r:id="rId7"/>
    <sheet name="P-8" sheetId="9" r:id="rId8"/>
    <sheet name="p-9" sheetId="43" r:id="rId9"/>
    <sheet name="p-10" sheetId="44" r:id="rId10"/>
    <sheet name="p-11" sheetId="45" r:id="rId11"/>
    <sheet name="p-12" sheetId="49" r:id="rId12"/>
    <sheet name="p-13" sheetId="50" r:id="rId13"/>
    <sheet name="p-14" sheetId="59" r:id="rId14"/>
    <sheet name="p-15" sheetId="46" r:id="rId15"/>
    <sheet name="p-16" sheetId="26" r:id="rId16"/>
    <sheet name="p-17Live Birth Rural" sheetId="57" r:id="rId17"/>
    <sheet name="p-17Live birth Urban" sheetId="58" r:id="rId18"/>
    <sheet name="p-18A" sheetId="61" r:id="rId19"/>
    <sheet name="p-18B" sheetId="62" r:id="rId20"/>
    <sheet name="p-19" sheetId="65" r:id="rId21"/>
    <sheet name="p-20" sheetId="40" r:id="rId22"/>
    <sheet name="p-21" sheetId="64" r:id="rId23"/>
  </sheets>
  <calcPr calcId="124519"/>
</workbook>
</file>

<file path=xl/calcChain.xml><?xml version="1.0" encoding="utf-8"?>
<calcChain xmlns="http://schemas.openxmlformats.org/spreadsheetml/2006/main">
  <c r="I82" i="64"/>
  <c r="H82"/>
  <c r="G82"/>
  <c r="E82"/>
  <c r="D82"/>
  <c r="I50"/>
  <c r="H50"/>
  <c r="G50"/>
  <c r="E50"/>
  <c r="D50"/>
  <c r="I109"/>
  <c r="H109"/>
  <c r="G109"/>
  <c r="E109"/>
  <c r="D109"/>
  <c r="I105"/>
  <c r="H105"/>
  <c r="G105"/>
  <c r="E105"/>
  <c r="D105"/>
  <c r="I101"/>
  <c r="H101"/>
  <c r="G101"/>
  <c r="E101"/>
  <c r="D101"/>
  <c r="I96"/>
  <c r="H96"/>
  <c r="G96"/>
  <c r="E96"/>
  <c r="D96"/>
  <c r="I92"/>
  <c r="H92"/>
  <c r="G92"/>
  <c r="E92"/>
  <c r="D92"/>
  <c r="I87"/>
  <c r="H87"/>
  <c r="G87"/>
  <c r="E87"/>
  <c r="D87"/>
  <c r="I75"/>
  <c r="H75"/>
  <c r="G75"/>
  <c r="E75"/>
  <c r="D75"/>
  <c r="I69"/>
  <c r="H69"/>
  <c r="G69"/>
  <c r="E69"/>
  <c r="D69"/>
  <c r="I59"/>
  <c r="H59"/>
  <c r="G59"/>
  <c r="E59"/>
  <c r="D59"/>
  <c r="I44"/>
  <c r="H44"/>
  <c r="G44"/>
  <c r="E44"/>
  <c r="D44"/>
  <c r="I34"/>
  <c r="H34"/>
  <c r="G34"/>
  <c r="E34"/>
  <c r="D34"/>
  <c r="I24"/>
  <c r="H24"/>
  <c r="G24"/>
  <c r="E24"/>
  <c r="D24"/>
  <c r="I13"/>
  <c r="H13"/>
  <c r="G13"/>
  <c r="E13"/>
  <c r="D13"/>
  <c r="F86"/>
  <c r="F108"/>
  <c r="F107"/>
  <c r="F104"/>
  <c r="F103"/>
  <c r="F100"/>
  <c r="F99"/>
  <c r="F98"/>
  <c r="F95"/>
  <c r="F94"/>
  <c r="F91"/>
  <c r="F90"/>
  <c r="F89"/>
  <c r="F85"/>
  <c r="F84"/>
  <c r="F81"/>
  <c r="F80"/>
  <c r="F79"/>
  <c r="F78"/>
  <c r="F77"/>
  <c r="F74"/>
  <c r="F73"/>
  <c r="F72"/>
  <c r="F71"/>
  <c r="F68"/>
  <c r="F67"/>
  <c r="F66"/>
  <c r="F65"/>
  <c r="F64"/>
  <c r="F63"/>
  <c r="F62"/>
  <c r="F61"/>
  <c r="F58"/>
  <c r="F57"/>
  <c r="F56"/>
  <c r="F55"/>
  <c r="F54"/>
  <c r="F53"/>
  <c r="F52"/>
  <c r="F49"/>
  <c r="F48"/>
  <c r="F47"/>
  <c r="F46"/>
  <c r="F43"/>
  <c r="F42"/>
  <c r="F41"/>
  <c r="F40"/>
  <c r="F39"/>
  <c r="F38"/>
  <c r="F37"/>
  <c r="F36"/>
  <c r="F33"/>
  <c r="F32"/>
  <c r="F31"/>
  <c r="F30"/>
  <c r="F29"/>
  <c r="F28"/>
  <c r="F27"/>
  <c r="F26"/>
  <c r="F23"/>
  <c r="F22"/>
  <c r="F21"/>
  <c r="F20"/>
  <c r="F19"/>
  <c r="F18"/>
  <c r="F17"/>
  <c r="F16"/>
  <c r="F15"/>
  <c r="F12"/>
  <c r="F11"/>
  <c r="F10"/>
  <c r="F9"/>
  <c r="F8"/>
  <c r="K36" i="40"/>
  <c r="J36"/>
  <c r="I36"/>
  <c r="H36"/>
  <c r="G36"/>
  <c r="F36"/>
  <c r="E36"/>
  <c r="D36"/>
  <c r="C36"/>
  <c r="L36" s="1"/>
  <c r="K35"/>
  <c r="J35"/>
  <c r="I35"/>
  <c r="I37" s="1"/>
  <c r="H35"/>
  <c r="H37" s="1"/>
  <c r="G35"/>
  <c r="F35"/>
  <c r="E35"/>
  <c r="E37" s="1"/>
  <c r="D35"/>
  <c r="D37" s="1"/>
  <c r="C35"/>
  <c r="K34"/>
  <c r="J34"/>
  <c r="I34"/>
  <c r="H34"/>
  <c r="G34"/>
  <c r="F34"/>
  <c r="E34"/>
  <c r="D34"/>
  <c r="C34"/>
  <c r="L33"/>
  <c r="L32"/>
  <c r="K31"/>
  <c r="J31"/>
  <c r="I31"/>
  <c r="H31"/>
  <c r="G31"/>
  <c r="F31"/>
  <c r="E31"/>
  <c r="D31"/>
  <c r="C31"/>
  <c r="L30"/>
  <c r="L29"/>
  <c r="B52" i="58"/>
  <c r="G51"/>
  <c r="F51"/>
  <c r="E51"/>
  <c r="K50"/>
  <c r="K49"/>
  <c r="K48"/>
  <c r="G47"/>
  <c r="K47" s="1"/>
  <c r="H46"/>
  <c r="G46"/>
  <c r="F46"/>
  <c r="E46"/>
  <c r="H45"/>
  <c r="G45"/>
  <c r="F45"/>
  <c r="E45"/>
  <c r="K45" s="1"/>
  <c r="I44"/>
  <c r="H44"/>
  <c r="G44"/>
  <c r="F44"/>
  <c r="E44"/>
  <c r="D44"/>
  <c r="H43"/>
  <c r="G43"/>
  <c r="F43"/>
  <c r="E43"/>
  <c r="D43"/>
  <c r="H42"/>
  <c r="G42"/>
  <c r="F42"/>
  <c r="E42"/>
  <c r="D42"/>
  <c r="I41"/>
  <c r="H41"/>
  <c r="G41"/>
  <c r="F41"/>
  <c r="E41"/>
  <c r="D41"/>
  <c r="C41"/>
  <c r="J40"/>
  <c r="J52" s="1"/>
  <c r="I40"/>
  <c r="I52" s="1"/>
  <c r="H40"/>
  <c r="G40"/>
  <c r="F40"/>
  <c r="E40"/>
  <c r="E52" s="1"/>
  <c r="D40"/>
  <c r="C40"/>
  <c r="C52" s="1"/>
  <c r="J52" i="57"/>
  <c r="I52"/>
  <c r="H52"/>
  <c r="G52"/>
  <c r="F52"/>
  <c r="E52"/>
  <c r="D52"/>
  <c r="C52"/>
  <c r="B52"/>
  <c r="K51"/>
  <c r="K50"/>
  <c r="K49"/>
  <c r="K48"/>
  <c r="K47"/>
  <c r="K46"/>
  <c r="K45"/>
  <c r="K44"/>
  <c r="K43"/>
  <c r="K42"/>
  <c r="K41"/>
  <c r="K40"/>
  <c r="O25" i="62"/>
  <c r="N25"/>
  <c r="M25"/>
  <c r="L25"/>
  <c r="K25"/>
  <c r="J25"/>
  <c r="I25"/>
  <c r="H25"/>
  <c r="G25"/>
  <c r="F25"/>
  <c r="E25"/>
  <c r="O24"/>
  <c r="O26" s="1"/>
  <c r="N24"/>
  <c r="N26" s="1"/>
  <c r="M24"/>
  <c r="M26" s="1"/>
  <c r="L24"/>
  <c r="L26" s="1"/>
  <c r="K24"/>
  <c r="K26" s="1"/>
  <c r="J24"/>
  <c r="J26" s="1"/>
  <c r="I24"/>
  <c r="I26" s="1"/>
  <c r="H24"/>
  <c r="H26" s="1"/>
  <c r="G24"/>
  <c r="G26" s="1"/>
  <c r="F24"/>
  <c r="F26" s="1"/>
  <c r="E24"/>
  <c r="P24" s="1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O20" i="61"/>
  <c r="N20"/>
  <c r="M20"/>
  <c r="L20"/>
  <c r="K20"/>
  <c r="J20"/>
  <c r="I20"/>
  <c r="H20"/>
  <c r="G20"/>
  <c r="F20"/>
  <c r="E20"/>
  <c r="P20" s="1"/>
  <c r="O19"/>
  <c r="O21" s="1"/>
  <c r="N19"/>
  <c r="N21" s="1"/>
  <c r="M19"/>
  <c r="M21" s="1"/>
  <c r="L19"/>
  <c r="L21" s="1"/>
  <c r="K19"/>
  <c r="K21" s="1"/>
  <c r="J19"/>
  <c r="J21" s="1"/>
  <c r="I19"/>
  <c r="I21" s="1"/>
  <c r="H19"/>
  <c r="H21" s="1"/>
  <c r="G19"/>
  <c r="G21" s="1"/>
  <c r="F19"/>
  <c r="F21" s="1"/>
  <c r="E19"/>
  <c r="E21" s="1"/>
  <c r="P18"/>
  <c r="P17"/>
  <c r="P16"/>
  <c r="P15"/>
  <c r="P14"/>
  <c r="P13"/>
  <c r="P12"/>
  <c r="P11"/>
  <c r="P10"/>
  <c r="P9"/>
  <c r="P8"/>
  <c r="P7"/>
  <c r="P6"/>
  <c r="P5"/>
  <c r="P4"/>
  <c r="P3"/>
  <c r="F49" i="26"/>
  <c r="E49"/>
  <c r="D49"/>
  <c r="C49"/>
  <c r="I49" s="1"/>
  <c r="B49"/>
  <c r="I48"/>
  <c r="H48"/>
  <c r="G48"/>
  <c r="D48"/>
  <c r="I47"/>
  <c r="H47"/>
  <c r="G47"/>
  <c r="D47"/>
  <c r="I46"/>
  <c r="H46"/>
  <c r="G46"/>
  <c r="D46"/>
  <c r="I45"/>
  <c r="H45"/>
  <c r="G45"/>
  <c r="D45"/>
  <c r="I44"/>
  <c r="H44"/>
  <c r="G44"/>
  <c r="D44"/>
  <c r="I43"/>
  <c r="H43"/>
  <c r="G43"/>
  <c r="D43"/>
  <c r="I42"/>
  <c r="H42"/>
  <c r="G42"/>
  <c r="D42"/>
  <c r="I41"/>
  <c r="H41"/>
  <c r="G41"/>
  <c r="D41"/>
  <c r="I40"/>
  <c r="H40"/>
  <c r="G40"/>
  <c r="D40"/>
  <c r="I39"/>
  <c r="H39"/>
  <c r="G39"/>
  <c r="D39"/>
  <c r="I38"/>
  <c r="H38"/>
  <c r="G38"/>
  <c r="D38"/>
  <c r="J48" i="46"/>
  <c r="I48"/>
  <c r="G48"/>
  <c r="F48"/>
  <c r="D48"/>
  <c r="E48" s="1"/>
  <c r="C48"/>
  <c r="K47"/>
  <c r="H47"/>
  <c r="K46"/>
  <c r="H46"/>
  <c r="K45"/>
  <c r="H45"/>
  <c r="K44"/>
  <c r="H44"/>
  <c r="K43"/>
  <c r="H43"/>
  <c r="K42"/>
  <c r="H42"/>
  <c r="K41"/>
  <c r="H41"/>
  <c r="K40"/>
  <c r="H40"/>
  <c r="K39"/>
  <c r="H39"/>
  <c r="K38"/>
  <c r="H38"/>
  <c r="K37"/>
  <c r="H37"/>
  <c r="H48" s="1"/>
  <c r="K34" i="57"/>
  <c r="G110" i="64" l="1"/>
  <c r="E110"/>
  <c r="F110" s="1"/>
  <c r="I110"/>
  <c r="H110"/>
  <c r="D110"/>
  <c r="L31" i="40"/>
  <c r="G37"/>
  <c r="F37"/>
  <c r="C37"/>
  <c r="K37"/>
  <c r="D52" i="58"/>
  <c r="K43"/>
  <c r="K51"/>
  <c r="G52"/>
  <c r="K42"/>
  <c r="K46"/>
  <c r="H52"/>
  <c r="K44"/>
  <c r="F52"/>
  <c r="K41"/>
  <c r="J38" i="26"/>
  <c r="J40"/>
  <c r="J41"/>
  <c r="J42"/>
  <c r="J43"/>
  <c r="J44"/>
  <c r="J45"/>
  <c r="J46"/>
  <c r="J48"/>
  <c r="J39"/>
  <c r="J47"/>
  <c r="P25" i="62"/>
  <c r="K48" i="46"/>
  <c r="L34" i="40"/>
  <c r="J37"/>
  <c r="L35"/>
  <c r="K40" i="58"/>
  <c r="K52" i="57"/>
  <c r="E26" i="62"/>
  <c r="P26" s="1"/>
  <c r="P21" i="61"/>
  <c r="P19"/>
  <c r="G49" i="26"/>
  <c r="H49"/>
  <c r="J49" s="1"/>
  <c r="L37" i="40" l="1"/>
  <c r="K52" i="58"/>
  <c r="K34"/>
  <c r="J34"/>
  <c r="I34"/>
  <c r="H34"/>
  <c r="G34"/>
  <c r="F34"/>
  <c r="E34"/>
  <c r="D34"/>
  <c r="C34"/>
  <c r="J34" i="57"/>
  <c r="I34"/>
  <c r="H34"/>
  <c r="G34"/>
  <c r="F34"/>
  <c r="E34"/>
  <c r="D34"/>
  <c r="C34"/>
  <c r="I32" i="26"/>
  <c r="H32"/>
  <c r="J32" s="1"/>
  <c r="F32"/>
  <c r="E32"/>
  <c r="D32"/>
  <c r="C32"/>
  <c r="B32"/>
  <c r="J31"/>
  <c r="G31"/>
  <c r="J30"/>
  <c r="G30"/>
  <c r="J29"/>
  <c r="G29"/>
  <c r="J28"/>
  <c r="G28"/>
  <c r="J27"/>
  <c r="G27"/>
  <c r="J26"/>
  <c r="G26"/>
  <c r="J25"/>
  <c r="G25"/>
  <c r="J24"/>
  <c r="G24"/>
  <c r="J23"/>
  <c r="G23"/>
  <c r="J22"/>
  <c r="G22"/>
  <c r="J21"/>
  <c r="G21"/>
  <c r="G32" l="1"/>
  <c r="K10" i="40"/>
  <c r="J10"/>
  <c r="I10"/>
  <c r="H10"/>
  <c r="G10"/>
  <c r="F10"/>
  <c r="E10"/>
  <c r="D10"/>
  <c r="C10"/>
  <c r="K9"/>
  <c r="K11" s="1"/>
  <c r="J9"/>
  <c r="I9"/>
  <c r="H9"/>
  <c r="G9"/>
  <c r="G11" s="1"/>
  <c r="F9"/>
  <c r="E9"/>
  <c r="D9"/>
  <c r="C9"/>
  <c r="C11" s="1"/>
  <c r="K8"/>
  <c r="J8"/>
  <c r="I8"/>
  <c r="H8"/>
  <c r="G8"/>
  <c r="F8"/>
  <c r="E8"/>
  <c r="D8"/>
  <c r="C8"/>
  <c r="L7"/>
  <c r="L6"/>
  <c r="K5"/>
  <c r="J5"/>
  <c r="I5"/>
  <c r="H5"/>
  <c r="G5"/>
  <c r="F5"/>
  <c r="E5"/>
  <c r="D5"/>
  <c r="C5"/>
  <c r="L4"/>
  <c r="L10" s="1"/>
  <c r="L3"/>
  <c r="L9" s="1"/>
  <c r="F15" i="26"/>
  <c r="E15"/>
  <c r="C15"/>
  <c r="B15"/>
  <c r="I14"/>
  <c r="H14"/>
  <c r="G14"/>
  <c r="D14"/>
  <c r="I13"/>
  <c r="H13"/>
  <c r="G13"/>
  <c r="D13"/>
  <c r="I12"/>
  <c r="H12"/>
  <c r="G12"/>
  <c r="D12"/>
  <c r="I11"/>
  <c r="H11"/>
  <c r="J11" s="1"/>
  <c r="G11"/>
  <c r="D11"/>
  <c r="I10"/>
  <c r="H10"/>
  <c r="G10"/>
  <c r="D10"/>
  <c r="I9"/>
  <c r="H9"/>
  <c r="G9"/>
  <c r="D9"/>
  <c r="I8"/>
  <c r="H8"/>
  <c r="J8" s="1"/>
  <c r="G8"/>
  <c r="D8"/>
  <c r="I7"/>
  <c r="H7"/>
  <c r="J7" s="1"/>
  <c r="G7"/>
  <c r="D7"/>
  <c r="I6"/>
  <c r="H6"/>
  <c r="J6" s="1"/>
  <c r="G6"/>
  <c r="D6"/>
  <c r="I5"/>
  <c r="H5"/>
  <c r="J5" s="1"/>
  <c r="G5"/>
  <c r="D5"/>
  <c r="I4"/>
  <c r="I15" s="1"/>
  <c r="H4"/>
  <c r="J4" s="1"/>
  <c r="G4"/>
  <c r="D4"/>
  <c r="J15" i="46"/>
  <c r="I15"/>
  <c r="G15"/>
  <c r="F15"/>
  <c r="D15"/>
  <c r="C15"/>
  <c r="K14"/>
  <c r="H14"/>
  <c r="E14"/>
  <c r="K13"/>
  <c r="H13"/>
  <c r="E13"/>
  <c r="K12"/>
  <c r="H12"/>
  <c r="E12"/>
  <c r="K11"/>
  <c r="H11"/>
  <c r="E11"/>
  <c r="K10"/>
  <c r="H10"/>
  <c r="E10"/>
  <c r="K9"/>
  <c r="H9"/>
  <c r="E9"/>
  <c r="K8"/>
  <c r="H8"/>
  <c r="E8"/>
  <c r="K7"/>
  <c r="H7"/>
  <c r="E7"/>
  <c r="K6"/>
  <c r="H6"/>
  <c r="E6"/>
  <c r="K5"/>
  <c r="H5"/>
  <c r="E5"/>
  <c r="K4"/>
  <c r="H4"/>
  <c r="E4"/>
  <c r="E11" i="40" l="1"/>
  <c r="I11"/>
  <c r="D15" i="26"/>
  <c r="D11" i="40"/>
  <c r="F11"/>
  <c r="J11"/>
  <c r="H11"/>
  <c r="L11"/>
  <c r="L8"/>
  <c r="J9" i="26"/>
  <c r="J10"/>
  <c r="J14"/>
  <c r="G15"/>
  <c r="J12"/>
  <c r="J13"/>
  <c r="K15" i="46"/>
  <c r="H15"/>
  <c r="E15"/>
  <c r="L5" i="40"/>
  <c r="H15" i="26"/>
  <c r="J15" s="1"/>
  <c r="J16" i="58"/>
  <c r="I16"/>
  <c r="H16"/>
  <c r="G16"/>
  <c r="F16"/>
  <c r="E16"/>
  <c r="D16"/>
  <c r="C16"/>
  <c r="B16"/>
  <c r="K15"/>
  <c r="K14"/>
  <c r="K13"/>
  <c r="K12"/>
  <c r="K11"/>
  <c r="K10"/>
  <c r="K9"/>
  <c r="K8"/>
  <c r="K7"/>
  <c r="K6"/>
  <c r="K5"/>
  <c r="K4"/>
  <c r="J16" i="57"/>
  <c r="I16"/>
  <c r="H16"/>
  <c r="G16"/>
  <c r="F16"/>
  <c r="E16"/>
  <c r="D16"/>
  <c r="C16"/>
  <c r="B16"/>
  <c r="K15"/>
  <c r="K14"/>
  <c r="K13"/>
  <c r="K12"/>
  <c r="K11"/>
  <c r="K10"/>
  <c r="K9"/>
  <c r="K8"/>
  <c r="K7"/>
  <c r="K6"/>
  <c r="K5"/>
  <c r="K4"/>
  <c r="K16" l="1"/>
  <c r="K16" i="58"/>
  <c r="H15" i="45"/>
  <c r="G15"/>
  <c r="F15"/>
  <c r="E15"/>
  <c r="D15"/>
  <c r="C15"/>
  <c r="H16" i="4" l="1"/>
  <c r="H15"/>
  <c r="H14"/>
  <c r="H13"/>
  <c r="H12"/>
  <c r="H11"/>
  <c r="H10"/>
  <c r="H9"/>
  <c r="H8"/>
  <c r="H7"/>
  <c r="H6"/>
  <c r="H5"/>
  <c r="M9" i="2"/>
  <c r="I9"/>
  <c r="E9"/>
  <c r="M8"/>
  <c r="I8"/>
  <c r="E8"/>
  <c r="M7"/>
  <c r="I7"/>
  <c r="E7"/>
  <c r="M6"/>
  <c r="I6"/>
  <c r="E6"/>
  <c r="M5"/>
  <c r="I5"/>
  <c r="E5"/>
</calcChain>
</file>

<file path=xl/sharedStrings.xml><?xml version="1.0" encoding="utf-8"?>
<sst xmlns="http://schemas.openxmlformats.org/spreadsheetml/2006/main" count="1223" uniqueCount="559">
  <si>
    <t>Sl. No.</t>
  </si>
  <si>
    <t>year</t>
  </si>
  <si>
    <t>Rural population</t>
  </si>
  <si>
    <t>Sex Ratio (Female per 1000 male)</t>
  </si>
  <si>
    <t>Urban Population</t>
  </si>
  <si>
    <t>Total population</t>
  </si>
  <si>
    <t>Decadal Growth Rate of Population</t>
  </si>
  <si>
    <t>F</t>
  </si>
  <si>
    <t>M</t>
  </si>
  <si>
    <t>P</t>
  </si>
  <si>
    <t>(-)2.15</t>
  </si>
  <si>
    <t>(-)0.58</t>
  </si>
  <si>
    <t xml:space="preserve"> </t>
  </si>
  <si>
    <t>M-male, F-female &amp; P-person</t>
  </si>
  <si>
    <t>District</t>
  </si>
  <si>
    <t>% Share of women</t>
  </si>
  <si>
    <t>Sex Ratio (female per 1000 male)</t>
  </si>
  <si>
    <t>Rural</t>
  </si>
  <si>
    <t>Urban</t>
  </si>
  <si>
    <t>Total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</si>
  <si>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</si>
  <si>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</si>
  <si>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</si>
  <si>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</si>
  <si>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</si>
  <si>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</si>
  <si>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</si>
  <si>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</si>
  <si>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</si>
  <si>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</si>
  <si>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</si>
  <si>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</si>
  <si>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% improvement over last 40 years</t>
  </si>
  <si>
    <t>No.</t>
  </si>
  <si>
    <t>NA</t>
  </si>
  <si>
    <t>N.A</t>
  </si>
  <si>
    <t>Note: N.A(not available)</t>
  </si>
  <si>
    <t>Early Childhood   (0-6)</t>
  </si>
  <si>
    <t>Girl Child       (0-19)</t>
  </si>
  <si>
    <t>Reproductive Age (15-45)</t>
  </si>
  <si>
    <t>Economically Active (15-59)</t>
  </si>
  <si>
    <t>Old Age (60+)</t>
  </si>
  <si>
    <t>Age-group</t>
  </si>
  <si>
    <t xml:space="preserve">Total </t>
  </si>
  <si>
    <t>Persons</t>
  </si>
  <si>
    <t>Males</t>
  </si>
  <si>
    <t>Females</t>
  </si>
  <si>
    <t>All ages</t>
  </si>
  <si>
    <t>2</t>
  </si>
  <si>
    <t>0-9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</si>
  <si>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</si>
  <si>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</si>
  <si>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</si>
  <si>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</si>
  <si>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</si>
  <si>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</si>
  <si>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</si>
  <si>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</si>
  <si>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</si>
  <si>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</si>
  <si>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</si>
  <si>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</si>
  <si>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</si>
  <si>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</si>
  <si>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</si>
  <si>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</si>
  <si>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Less than 18</t>
  </si>
  <si>
    <t>Less than 21</t>
  </si>
  <si>
    <t>15-29</t>
  </si>
  <si>
    <t>60+</t>
  </si>
  <si>
    <t>Note: Sl. No. 5 supposed to be from the age group of 15-45 years has been taken as 15-44 years due to none availability of break-up data.</t>
  </si>
  <si>
    <t xml:space="preserve">Rural </t>
  </si>
  <si>
    <t xml:space="preserve">Urban </t>
  </si>
  <si>
    <t>Never married (in%)</t>
  </si>
  <si>
    <t>Currently Married (in%)</t>
  </si>
  <si>
    <t>W/D/S (in%)</t>
  </si>
  <si>
    <t>Less than 14</t>
  </si>
  <si>
    <t>30-59</t>
  </si>
  <si>
    <t>Less then 14</t>
  </si>
  <si>
    <t>Source: Directorate of Census Operation, Nagaland: Kohima.</t>
  </si>
  <si>
    <r>
      <t xml:space="preserve"> </t>
    </r>
    <r>
      <rPr>
        <i/>
        <sz val="12"/>
        <color indexed="8"/>
        <rFont val="Calibri"/>
        <family val="2"/>
      </rPr>
      <t>Note: Sl.No. 5,8,9 and 11 calculated on decadal change.</t>
    </r>
  </si>
  <si>
    <t xml:space="preserve">State/ District  </t>
  </si>
  <si>
    <t>Total  Population</t>
  </si>
  <si>
    <t>Person</t>
  </si>
  <si>
    <t>Male</t>
  </si>
  <si>
    <t>Female</t>
  </si>
  <si>
    <t xml:space="preserve">    Nagaland </t>
  </si>
  <si>
    <t>19,78,502</t>
  </si>
  <si>
    <t>10,24,649</t>
  </si>
  <si>
    <t>9,53,853</t>
  </si>
  <si>
    <t>2,67,988</t>
  </si>
  <si>
    <t>1,38,966</t>
  </si>
  <si>
    <t>1,29,022</t>
  </si>
  <si>
    <t>3,78,811</t>
  </si>
  <si>
    <t>1,97,394</t>
  </si>
  <si>
    <t>1,81,417</t>
  </si>
  <si>
    <t>1,63,418</t>
  </si>
  <si>
    <t>1,94,622</t>
  </si>
  <si>
    <t>1,01,092</t>
  </si>
  <si>
    <t>1,66,343</t>
  </si>
  <si>
    <t>1,40,757</t>
  </si>
  <si>
    <t>1,96,596</t>
  </si>
  <si>
    <t>1,01,933</t>
  </si>
  <si>
    <t>2,50,260</t>
  </si>
  <si>
    <t>1,31,753</t>
  </si>
  <si>
    <t>1,18,507</t>
  </si>
  <si>
    <t>Child Population in the Group (0-6)</t>
  </si>
  <si>
    <t>Population (Aged 7 and above)</t>
  </si>
  <si>
    <t>2,91,071</t>
  </si>
  <si>
    <t>1,49,785</t>
  </si>
  <si>
    <t>1,41,286</t>
  </si>
  <si>
    <t>16,87,431</t>
  </si>
  <si>
    <t>8,74,864</t>
  </si>
  <si>
    <t>8,12,567</t>
  </si>
  <si>
    <t>2,31,702</t>
  </si>
  <si>
    <t>1,20,687</t>
  </si>
  <si>
    <t>1,11,015</t>
  </si>
  <si>
    <t>3,27,913</t>
  </si>
  <si>
    <t>1,71,505</t>
  </si>
  <si>
    <t>1,56,408</t>
  </si>
  <si>
    <t>1,35,666</t>
  </si>
  <si>
    <t>1,74,086</t>
  </si>
  <si>
    <t>1,46,205</t>
  </si>
  <si>
    <t>1,20,664</t>
  </si>
  <si>
    <t>1,60,806</t>
  </si>
  <si>
    <t>2,09,918</t>
  </si>
  <si>
    <t>Sl No.</t>
  </si>
  <si>
    <t xml:space="preserve">Kohima </t>
  </si>
  <si>
    <t xml:space="preserve">Dimapur </t>
  </si>
  <si>
    <t xml:space="preserve">Phek </t>
  </si>
  <si>
    <t xml:space="preserve">Wokha </t>
  </si>
  <si>
    <t xml:space="preserve">Zunheboto </t>
  </si>
  <si>
    <t xml:space="preserve">Tuensang </t>
  </si>
  <si>
    <t xml:space="preserve"> Kiphire</t>
  </si>
  <si>
    <t>Deaths</t>
  </si>
  <si>
    <t>Age</t>
  </si>
  <si>
    <t>Below 1 Year</t>
  </si>
  <si>
    <t>1-4 Yrs.</t>
  </si>
  <si>
    <t>5-14</t>
  </si>
  <si>
    <t>15-24</t>
  </si>
  <si>
    <t>25-34</t>
  </si>
  <si>
    <t>35-44</t>
  </si>
  <si>
    <t>45-54</t>
  </si>
  <si>
    <t>55-64</t>
  </si>
  <si>
    <t>70 and above</t>
  </si>
  <si>
    <t>Total of all Ages</t>
  </si>
  <si>
    <t>Birth Order</t>
  </si>
  <si>
    <t>Literate</t>
  </si>
  <si>
    <t>Illiterate</t>
  </si>
  <si>
    <t>Above 10</t>
  </si>
  <si>
    <t>Not Stated</t>
  </si>
  <si>
    <t>Professional Technical &amp; Related Workers</t>
  </si>
  <si>
    <t>Administrative Executive &amp; Managerial Workers</t>
  </si>
  <si>
    <t>Clerical Workers</t>
  </si>
  <si>
    <t>Sales Workers</t>
  </si>
  <si>
    <t>Non-Workers</t>
  </si>
  <si>
    <t>Service Workers</t>
  </si>
  <si>
    <t>Production &amp; Other Related Workers Transport Equipment Operators &amp; Labourers</t>
  </si>
  <si>
    <t>Rural/ Urban</t>
  </si>
  <si>
    <t>Sex</t>
  </si>
  <si>
    <t>Farmers, Fishermen, Hunters, Loggers etc. and Related Workers</t>
  </si>
  <si>
    <t>Other Whose Occupation is Not Else Where Classified</t>
  </si>
  <si>
    <t>T</t>
  </si>
  <si>
    <t xml:space="preserve"> Births</t>
  </si>
  <si>
    <t>Infant Deaths</t>
  </si>
  <si>
    <t>Source RBD Section, DES Nagaland</t>
  </si>
  <si>
    <t>Sl NO.</t>
  </si>
  <si>
    <t>Types</t>
  </si>
  <si>
    <t>Seeing</t>
  </si>
  <si>
    <t>Hearing</t>
  </si>
  <si>
    <t>Speech</t>
  </si>
  <si>
    <t>Movement</t>
  </si>
  <si>
    <t>Mental Retardation</t>
  </si>
  <si>
    <t>Mental illness</t>
  </si>
  <si>
    <t>Multiple Disability</t>
  </si>
  <si>
    <t>Others</t>
  </si>
  <si>
    <t>0-19 years</t>
  </si>
  <si>
    <t>20-40-years</t>
  </si>
  <si>
    <t>&gt;50 years</t>
  </si>
  <si>
    <t>Source: RBD Section, DES Nagaland</t>
  </si>
  <si>
    <t>DISTRICT</t>
  </si>
  <si>
    <t>SL NO.</t>
  </si>
  <si>
    <t>Age Not Stated</t>
  </si>
  <si>
    <t>45 and Above</t>
  </si>
  <si>
    <t>Below 15 Years</t>
  </si>
  <si>
    <t>All Ages</t>
  </si>
  <si>
    <t>Age of Mother</t>
  </si>
  <si>
    <t>1,37,790</t>
  </si>
  <si>
    <t>1,28,162</t>
  </si>
  <si>
    <t>2,25,571</t>
  </si>
  <si>
    <t xml:space="preserve"> 90+</t>
  </si>
  <si>
    <t>3,86,415</t>
  </si>
  <si>
    <t>3,37,170</t>
  </si>
  <si>
    <t>7,23,585</t>
  </si>
  <si>
    <t xml:space="preserve"> 80-89</t>
  </si>
  <si>
    <t>8,84,498</t>
  </si>
  <si>
    <t>8,84,872</t>
  </si>
  <si>
    <t>17,69,370</t>
  </si>
  <si>
    <t xml:space="preserve"> 70-79</t>
  </si>
  <si>
    <t>12,63,373</t>
  </si>
  <si>
    <t>13,94,306</t>
  </si>
  <si>
    <t>26,57,679</t>
  </si>
  <si>
    <t xml:space="preserve"> 60-69</t>
  </si>
  <si>
    <t>10,61,667</t>
  </si>
  <si>
    <t>14,30,762</t>
  </si>
  <si>
    <t>24,92,429</t>
  </si>
  <si>
    <t xml:space="preserve"> 50-59</t>
  </si>
  <si>
    <t>12,64,011</t>
  </si>
  <si>
    <t>18,51,640</t>
  </si>
  <si>
    <t>31,15,651</t>
  </si>
  <si>
    <t xml:space="preserve"> 40-49</t>
  </si>
  <si>
    <t>15,22,931</t>
  </si>
  <si>
    <t>21,12,791</t>
  </si>
  <si>
    <t>36,35,722</t>
  </si>
  <si>
    <t xml:space="preserve"> 30-39</t>
  </si>
  <si>
    <t>17,70,865</t>
  </si>
  <si>
    <t>24,18,974</t>
  </si>
  <si>
    <t>41,89,839</t>
  </si>
  <si>
    <t xml:space="preserve"> 20-29</t>
  </si>
  <si>
    <t>20,05,876</t>
  </si>
  <si>
    <t>26,10,174</t>
  </si>
  <si>
    <t>46,16,050</t>
  </si>
  <si>
    <t xml:space="preserve"> 10-19</t>
  </si>
  <si>
    <t>8,73,941</t>
  </si>
  <si>
    <t>10,81,598</t>
  </si>
  <si>
    <t>19,55,539</t>
  </si>
  <si>
    <t xml:space="preserve"> 5-9</t>
  </si>
  <si>
    <t>6,00,981</t>
  </si>
  <si>
    <t>6,90,351</t>
  </si>
  <si>
    <t>12,91,332</t>
  </si>
  <si>
    <t>0-4</t>
  </si>
  <si>
    <t>118,24,355</t>
  </si>
  <si>
    <t>149,86,202</t>
  </si>
  <si>
    <t>268,10,557</t>
  </si>
  <si>
    <t>FEMALES</t>
  </si>
  <si>
    <t>MALES</t>
  </si>
  <si>
    <t>PERSONS</t>
  </si>
  <si>
    <t>India</t>
  </si>
  <si>
    <t>Age - group</t>
  </si>
  <si>
    <t>Graduate and above</t>
  </si>
  <si>
    <t>Matric/Secondary but below graduate</t>
  </si>
  <si>
    <t xml:space="preserve"> Middle but below matric/ Secondary</t>
  </si>
  <si>
    <t>Primary but below middle</t>
  </si>
  <si>
    <t>Literate but below primary</t>
  </si>
  <si>
    <t>Educational level</t>
  </si>
  <si>
    <t>SL.NO</t>
  </si>
  <si>
    <t>Farming Population</t>
  </si>
  <si>
    <t>Meluri</t>
  </si>
  <si>
    <t>Tuli</t>
  </si>
  <si>
    <t>Shamator</t>
  </si>
  <si>
    <t>Noklak</t>
  </si>
  <si>
    <t>Tobu</t>
  </si>
  <si>
    <t>Tizit</t>
  </si>
  <si>
    <t>Aboi</t>
  </si>
  <si>
    <t>Akuluto</t>
  </si>
  <si>
    <t>Satakha</t>
  </si>
  <si>
    <t>Jalukie</t>
  </si>
  <si>
    <t>Tening</t>
  </si>
  <si>
    <t xml:space="preserve">Table 2.4: District-wise child population 0f 0-6 aged group and population of aged 7 and above </t>
  </si>
  <si>
    <t>Table 2.9: District wise number of Disabled persons by sex, as per census 2011</t>
  </si>
  <si>
    <t>Table 2.10: Sex wise types of Disability, as per census 2011</t>
  </si>
  <si>
    <t>Table 2.12: Total number of disabled persons in age group, Census 2011</t>
  </si>
  <si>
    <t>Table 2.13: Educational Level of Total Disabled Population, Census 2011</t>
  </si>
  <si>
    <t>Table 2.1: Rural-Urban Distribution of Sex Ratio and Decadal Growth Rate of population of post Statehood Nagaland.</t>
  </si>
  <si>
    <t>Table 2.2: District-wise Percentage share of Female Population in Total Population-2011</t>
  </si>
  <si>
    <t>Table 2.3:District-wise Sex Ratio in post Statehood Nagaland</t>
  </si>
  <si>
    <t>Table 2.5: Sex-ratio in the Age-group 0-6 Years by Residence 2001 and 2011</t>
  </si>
  <si>
    <t xml:space="preserve">Table 2.6: District-wise sex ratio in various age-groups in the context of developmental planning as per 2011 Population Census </t>
  </si>
  <si>
    <t>Table 2.7: Percentage distribution of population in Nagaland by Age-group and sex as per 2011 Census.</t>
  </si>
  <si>
    <t>Table 2.8: Percentage Distribution of Population by Sex, Marital status and Age-group as per 2011 Census.</t>
  </si>
  <si>
    <t>( PER THOUSAND POPULATION )</t>
  </si>
  <si>
    <t>Birth Rate</t>
  </si>
  <si>
    <t>Death Rate</t>
  </si>
  <si>
    <t>Infant Death Rate</t>
  </si>
  <si>
    <t xml:space="preserve">Maternal Death rate </t>
  </si>
  <si>
    <t xml:space="preserve">Birth Rate </t>
  </si>
  <si>
    <t xml:space="preserve">Death Rate </t>
  </si>
  <si>
    <t>Infant Mortality</t>
  </si>
  <si>
    <t>Maternal Death</t>
  </si>
  <si>
    <t>Nagaland(Total)</t>
  </si>
  <si>
    <t>Sl.No</t>
  </si>
  <si>
    <t>Code</t>
  </si>
  <si>
    <t>Major Group of Cause of Death</t>
  </si>
  <si>
    <t>Below         1 year</t>
  </si>
  <si>
    <t>1-4              year</t>
  </si>
  <si>
    <t xml:space="preserve">  5-14 Year</t>
  </si>
  <si>
    <t>15-24         year</t>
  </si>
  <si>
    <t>25-34               year</t>
  </si>
  <si>
    <t>35-44        year</t>
  </si>
  <si>
    <t>45-54            year</t>
  </si>
  <si>
    <t>55-64            year</t>
  </si>
  <si>
    <t>65-69            year</t>
  </si>
  <si>
    <t>70 &amp; above year</t>
  </si>
  <si>
    <t>Not stated</t>
  </si>
  <si>
    <t>A00-B99</t>
  </si>
  <si>
    <t>Infection and Parasitic Disease</t>
  </si>
  <si>
    <t>C00-D48</t>
  </si>
  <si>
    <t>Neoplasms</t>
  </si>
  <si>
    <t>D50-D89</t>
  </si>
  <si>
    <t>Disease of Blood &amp; Blood forming Organs &amp; Certain Disorder involving the Immune Mechanism</t>
  </si>
  <si>
    <t>E00-E89</t>
  </si>
  <si>
    <t>Endocrine Nutritional &amp; Metabolic Disease</t>
  </si>
  <si>
    <t>F01-F99</t>
  </si>
  <si>
    <t>Mental &amp; Behavior Disorder</t>
  </si>
  <si>
    <t>G00-G98</t>
  </si>
  <si>
    <t>Diseases of the Nervous System</t>
  </si>
  <si>
    <t>H00-H59</t>
  </si>
  <si>
    <t>Diseases of the Eye &amp; Adnexa</t>
  </si>
  <si>
    <t>H60-H95</t>
  </si>
  <si>
    <t>Diseases of the Ear &amp; Mastoid Process</t>
  </si>
  <si>
    <t xml:space="preserve">                </t>
  </si>
  <si>
    <t>I00-I99</t>
  </si>
  <si>
    <t>Diseases of  the Circulatory System</t>
  </si>
  <si>
    <t>J00-J98</t>
  </si>
  <si>
    <t>Diseases of the Respiratory System</t>
  </si>
  <si>
    <t>K00-K92</t>
  </si>
  <si>
    <t>Diseases of the Digestive System</t>
  </si>
  <si>
    <t>L00-L98</t>
  </si>
  <si>
    <t>Diseases of the Skin &amp; Subcutaneous Tissue</t>
  </si>
  <si>
    <t>M00-M99</t>
  </si>
  <si>
    <t>Diseases of the Musculoskeletal System &amp; Connective Tissue</t>
  </si>
  <si>
    <t>N00-N99</t>
  </si>
  <si>
    <t>Diseases of the Genitourinary System</t>
  </si>
  <si>
    <t>O00-O99</t>
  </si>
  <si>
    <t>Pregnancy, Child-Birth &amp; the Pueperium</t>
  </si>
  <si>
    <t>P00-P96</t>
  </si>
  <si>
    <t>Certain Conditions &amp; Originating in the Perinatal Period</t>
  </si>
  <si>
    <t>Q00-Q99</t>
  </si>
  <si>
    <t>Congenital Malformation, Deformation &amp; Chromosomal Abnormalities</t>
  </si>
  <si>
    <t>R00-R99</t>
  </si>
  <si>
    <t>Symptoms, Signs &amp; Abnormal Clinical and Laboratory findings, not elsewhere classified</t>
  </si>
  <si>
    <t>S00-T98</t>
  </si>
  <si>
    <t>Injury, Poisoning Certain consequences of External Causes</t>
  </si>
  <si>
    <t>M.G/CAT./S.C</t>
  </si>
  <si>
    <t>SEX</t>
  </si>
  <si>
    <t>AGE GROUPS</t>
  </si>
  <si>
    <t xml:space="preserve">  &lt;1 </t>
  </si>
  <si>
    <t xml:space="preserve">  1-4</t>
  </si>
  <si>
    <t xml:space="preserve"> 5-14</t>
  </si>
  <si>
    <t xml:space="preserve"> 15-24</t>
  </si>
  <si>
    <t xml:space="preserve"> 25-34</t>
  </si>
  <si>
    <t xml:space="preserve"> 35-44</t>
  </si>
  <si>
    <t xml:space="preserve"> 45-54</t>
  </si>
  <si>
    <t xml:space="preserve"> 55-64</t>
  </si>
  <si>
    <t xml:space="preserve"> 65-69</t>
  </si>
  <si>
    <t xml:space="preserve">  70+</t>
  </si>
  <si>
    <t>N.S.</t>
  </si>
  <si>
    <t>TOTAL</t>
  </si>
  <si>
    <t xml:space="preserve"> 1</t>
  </si>
  <si>
    <t xml:space="preserve">CERTAIN INFECTIOUS AND PARASITIC DISEASES </t>
  </si>
  <si>
    <t>(A00-B99)</t>
  </si>
  <si>
    <t xml:space="preserve">NEOPLASMS </t>
  </si>
  <si>
    <t>(C00-D48)</t>
  </si>
  <si>
    <t xml:space="preserve">MENTAL AND BEHAVIOURAL DISORDERS </t>
  </si>
  <si>
    <t>( F01-F99)</t>
  </si>
  <si>
    <t xml:space="preserve">DISEASES OF THE NERVOUS SYSTEM </t>
  </si>
  <si>
    <t>( G00-G98)</t>
  </si>
  <si>
    <t xml:space="preserve">DISEASES OF THE EYE AND ADNEXA </t>
  </si>
  <si>
    <t>(H00-H59)</t>
  </si>
  <si>
    <t xml:space="preserve">DISEASES OF THE EAR AND MASTOID PROCESS </t>
  </si>
  <si>
    <t xml:space="preserve"> (H60-H95)</t>
  </si>
  <si>
    <t xml:space="preserve">DISEASES OF THE CIRCULATORY SYSTEM </t>
  </si>
  <si>
    <t>( I00-I99)</t>
  </si>
  <si>
    <t xml:space="preserve">DISEASES OF THE RESPIRATORY SYSTEM </t>
  </si>
  <si>
    <t>(J00-J98)</t>
  </si>
  <si>
    <t xml:space="preserve">DISEASES OF THE  DIGESTIVE SYSTEM </t>
  </si>
  <si>
    <t>(K00-K92)</t>
  </si>
  <si>
    <t xml:space="preserve">DISEASES OF THE GENITOURINARY SYSTEM </t>
  </si>
  <si>
    <t>( N00-N99)</t>
  </si>
  <si>
    <t>ALL CAUSES ( MAJOR GROUP  I to XIX)</t>
  </si>
  <si>
    <t>ALL CAUSES ( MAJOR GROUP  I to XX)</t>
  </si>
  <si>
    <t>Name of  Block</t>
  </si>
  <si>
    <t>Total No of village</t>
  </si>
  <si>
    <t>DIMAPUR</t>
  </si>
  <si>
    <t>DAO Dimapur</t>
  </si>
  <si>
    <t>Kuhuboto</t>
  </si>
  <si>
    <t>KOHIMA</t>
  </si>
  <si>
    <t>DAO kohima</t>
  </si>
  <si>
    <t>Jakhama</t>
  </si>
  <si>
    <t>Sechu-Zubza</t>
  </si>
  <si>
    <t>Chiephobozou</t>
  </si>
  <si>
    <t>SDAO Chiephobozou</t>
  </si>
  <si>
    <t>Botsa</t>
  </si>
  <si>
    <t>MOKOKCHUNG</t>
  </si>
  <si>
    <t>DAO Mokokchung</t>
  </si>
  <si>
    <t>Changtongya</t>
  </si>
  <si>
    <t>Kubolong</t>
  </si>
  <si>
    <t>Ongpangkong(N)</t>
  </si>
  <si>
    <t>Ongpangkong(S)</t>
  </si>
  <si>
    <t>SDAO Mangkolemba</t>
  </si>
  <si>
    <t>Longchem</t>
  </si>
  <si>
    <t>Mangkolemba</t>
  </si>
  <si>
    <t>Tsurangkong</t>
  </si>
  <si>
    <t>Chuchuyimlang</t>
  </si>
  <si>
    <t>MON</t>
  </si>
  <si>
    <t>DAO Mon</t>
  </si>
  <si>
    <t>Phomching</t>
  </si>
  <si>
    <t>SDAO Aboi</t>
  </si>
  <si>
    <t>Chen</t>
  </si>
  <si>
    <t>Angjangyang</t>
  </si>
  <si>
    <t>SDAO Tizit</t>
  </si>
  <si>
    <t>SDAO Tobu</t>
  </si>
  <si>
    <t>SDAO Naginimora</t>
  </si>
  <si>
    <t>Wakching</t>
  </si>
  <si>
    <t>PHEK</t>
  </si>
  <si>
    <t>DAO Phek</t>
  </si>
  <si>
    <t>SDAO Pfiitsero</t>
  </si>
  <si>
    <t>Kikruma</t>
  </si>
  <si>
    <t>Pfiitsero</t>
  </si>
  <si>
    <t>Chizami</t>
  </si>
  <si>
    <t>SDOA Chozouba</t>
  </si>
  <si>
    <t>Chetheba</t>
  </si>
  <si>
    <t>Sekruzu</t>
  </si>
  <si>
    <t>SDAO Meluri</t>
  </si>
  <si>
    <t>Weziho</t>
  </si>
  <si>
    <t>TUENSANG</t>
  </si>
  <si>
    <t>DAO Tuensang</t>
  </si>
  <si>
    <t>Noksen</t>
  </si>
  <si>
    <t>Sangsangnyu</t>
  </si>
  <si>
    <t>SDAO Longkhim</t>
  </si>
  <si>
    <t>Chare</t>
  </si>
  <si>
    <t>Longkhim</t>
  </si>
  <si>
    <t>SDAO Wokha</t>
  </si>
  <si>
    <t>Chukitong</t>
  </si>
  <si>
    <t>Wozhuro</t>
  </si>
  <si>
    <t>Ralan</t>
  </si>
  <si>
    <t>SDAO Baghty</t>
  </si>
  <si>
    <t>Bhandari</t>
  </si>
  <si>
    <t>Sanis</t>
  </si>
  <si>
    <t>Changpang</t>
  </si>
  <si>
    <t>ZUNHEBOTO</t>
  </si>
  <si>
    <t>DAO Zunheboto</t>
  </si>
  <si>
    <t>Suruhuto</t>
  </si>
  <si>
    <t>Akuhaito</t>
  </si>
  <si>
    <t>SDAO Akuluto</t>
  </si>
  <si>
    <t>SDAO Pughoboto</t>
  </si>
  <si>
    <t>Ghathashi</t>
  </si>
  <si>
    <t>SDAO Satakha</t>
  </si>
  <si>
    <t>Satoi</t>
  </si>
  <si>
    <t>SDAO Aghunato</t>
  </si>
  <si>
    <t>Tokiye</t>
  </si>
  <si>
    <t>PEREN</t>
  </si>
  <si>
    <t>DAO Peren</t>
  </si>
  <si>
    <t>SDAO Jalukie</t>
  </si>
  <si>
    <t>Athibung</t>
  </si>
  <si>
    <t>SDAO Tening</t>
  </si>
  <si>
    <t>KIPHIRE</t>
  </si>
  <si>
    <t>DAO kiphire</t>
  </si>
  <si>
    <t>kiphire</t>
  </si>
  <si>
    <t>Longmatra</t>
  </si>
  <si>
    <t>SDAO Seyochung</t>
  </si>
  <si>
    <t>Sitimi</t>
  </si>
  <si>
    <t>SDAO Pungro</t>
  </si>
  <si>
    <t>Pungro</t>
  </si>
  <si>
    <t>Khonsa</t>
  </si>
  <si>
    <t>LONGLENG</t>
  </si>
  <si>
    <t>DAO Longleng</t>
  </si>
  <si>
    <t>Sakshi</t>
  </si>
  <si>
    <t>SDAO Tamlu</t>
  </si>
  <si>
    <t>Tamlu</t>
  </si>
  <si>
    <t>DAO Noklak</t>
  </si>
  <si>
    <t>Thonokyu</t>
  </si>
  <si>
    <t>Panso</t>
  </si>
  <si>
    <t>TSEMINYU</t>
  </si>
  <si>
    <t>DAO Tseminyu</t>
  </si>
  <si>
    <t>Tseminyu</t>
  </si>
  <si>
    <t>Chunlikha</t>
  </si>
  <si>
    <t>CHUMOUKEDIMA</t>
  </si>
  <si>
    <t>DAO Chumoukedima</t>
  </si>
  <si>
    <t>Dhansiripar</t>
  </si>
  <si>
    <t>Chumoukedima</t>
  </si>
  <si>
    <t>SDAO Medziphema</t>
  </si>
  <si>
    <t>Medziphema</t>
  </si>
  <si>
    <t>NIULAND</t>
  </si>
  <si>
    <t>DAO Niuland</t>
  </si>
  <si>
    <t>Niuland</t>
  </si>
  <si>
    <t>Aghunaqa</t>
  </si>
  <si>
    <t>SHAMATOR</t>
  </si>
  <si>
    <t>DAO Shamator</t>
  </si>
  <si>
    <t>Chessore</t>
  </si>
  <si>
    <t>Cause of death</t>
  </si>
  <si>
    <t>I</t>
  </si>
  <si>
    <t>II</t>
  </si>
  <si>
    <t>III</t>
  </si>
  <si>
    <t>(D50-D89)</t>
  </si>
  <si>
    <t>DISEASES OF THE BLOOD AND BLOOD-FORMING ORGANS AND CERTAIN DISORDERS INVOLVING THE IMMUNE MECHANISM</t>
  </si>
  <si>
    <t>IV</t>
  </si>
  <si>
    <t>(E00-E89)</t>
  </si>
  <si>
    <t>ENDOCRINE, NUTRITIONAL AND METABOLIC DISEASES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</si>
  <si>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</si>
  <si>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</si>
  <si>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</si>
  <si>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</si>
  <si>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</si>
  <si>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</si>
  <si>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</si>
  <si>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</si>
  <si>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 (L00-L98)</t>
  </si>
  <si>
    <t xml:space="preserve">DISEASES OF THE SKIN AND SUBCUTANEOUS TISSUE </t>
  </si>
  <si>
    <t>XIII</t>
  </si>
  <si>
    <t>(M00-M99)</t>
  </si>
  <si>
    <t>DISEASES OF THE MUSCULOSKELETAL SYSTEM AND CONNECTIVE TISSUE</t>
  </si>
  <si>
    <t>XIV</t>
  </si>
  <si>
    <t>XV</t>
  </si>
  <si>
    <t>(O00-O99)</t>
  </si>
  <si>
    <t>PREGNANCY, CHILDBIRTH AND THE PUERPERIUM</t>
  </si>
  <si>
    <t>XVI</t>
  </si>
  <si>
    <t>(P00-P96)</t>
  </si>
  <si>
    <t>CERTAIN CONDITIONS ORIGINATING  IN THE PERINATAL  PERIOD</t>
  </si>
  <si>
    <t>XVII</t>
  </si>
  <si>
    <t xml:space="preserve"> (Q00-Q99)</t>
  </si>
  <si>
    <t>CONGENITAL MALFORMATIONS, DEFORMATIONS AND CHROMOSOMAL ABNORMALITIES</t>
  </si>
  <si>
    <t>XVIII</t>
  </si>
  <si>
    <t>(R00-R99)</t>
  </si>
  <si>
    <t xml:space="preserve">SYMPTOMS,  SIGNS AND ABNORMAL CLINICAL AND LABORATORY FINDINGS, NOT ELSEWHERE CLASSIFIED  </t>
  </si>
  <si>
    <t>XIX</t>
  </si>
  <si>
    <t>( S00-T98)</t>
  </si>
  <si>
    <t>INJURY, POISONING AND CERTAIN OTHER CONSEQUENCES OF EXTERNAL CAUSES</t>
  </si>
  <si>
    <t>XX</t>
  </si>
  <si>
    <t>(V01-Y89)</t>
  </si>
  <si>
    <t>EXTERNAL CAUSES OF MORBIDITY AND MORTALITY</t>
  </si>
  <si>
    <t>XXI</t>
  </si>
  <si>
    <t>Table 2.14: Vital Rate by Districts during 2023.</t>
  </si>
  <si>
    <t>Grand Total</t>
  </si>
  <si>
    <t>SDAO Tuli</t>
  </si>
  <si>
    <t>Table 2.15(A): Number of Births, Deaths and Infant Deaths by Sex Registered During 2021.</t>
  </si>
  <si>
    <t>Table 2.15(B): Number of Births, Deaths and Infant Deaths by Sex Registered During 2022.</t>
  </si>
  <si>
    <t xml:space="preserve">Table 2.15(C): Number of Births, Deaths and Infant Deaths by Sex Registered During 2023.
</t>
  </si>
  <si>
    <t>Table 2.16 (A): Number of Deaths by Age and Sex Registered During 2021.</t>
  </si>
  <si>
    <t>Table 2.16 (B): Number of Deaths by Age and Sex Registered During 2022.</t>
  </si>
  <si>
    <t>Table 2.16(C): Number of Deaths by Age and Sex Registered During 2023.</t>
  </si>
  <si>
    <t>Table 2.17 (A): Live Births by Birth Order and Age of Mother in Rural Areas during 2021.</t>
  </si>
  <si>
    <t>Table 2.17 (B): Live Births by Birth Order and Age of Mother in Rural Areas during 2022.</t>
  </si>
  <si>
    <t>Table 2.17 (C): Live Births by Birth Order and Age of Mother in Rural Areas during 2023.</t>
  </si>
  <si>
    <t>Table 2.17(D): Live Births by Birth Order and Age of Mother in Urban Areas during 2021.</t>
  </si>
  <si>
    <t>Table 2.17 (E): Live Births by Birth Order and Age of Mother in Urban Areas during 2022.</t>
  </si>
  <si>
    <t>Table 2.17 (F): Live Births by Birth Order and Age of Mother in Urban Areas during 2023.</t>
  </si>
  <si>
    <t>Table 2.18 (A): Major Group of Cause of Death by Age &amp; Sex 2023 (Part-I)</t>
  </si>
  <si>
    <t>Table 2.18 (B): Major Group of Cause of Death by Age &amp; Sex 2023 (Part-II)</t>
  </si>
  <si>
    <t>Table 2.20(A): Deaths by Occupation and Sex - 2021.</t>
  </si>
  <si>
    <t>Table 2.20(B): Deaths by Occupation and Sex - 2022.</t>
  </si>
  <si>
    <t>Table 2.20(C): Deaths by Occupation and Sex - 2023.</t>
  </si>
  <si>
    <t>Table 2.19: Medically Certified Deths by Age &amp; Sex according to National List of Tenth Revision of ICD during 2023</t>
  </si>
  <si>
    <t>Table 2.21: Gender Wise Farming Population in all the District during 2024</t>
  </si>
  <si>
    <t xml:space="preserve">Source: Agri Census, Directorate of Agriculture, Nagaland, Kohima. </t>
  </si>
  <si>
    <t>Source:1.Directorate of Census Operation, Nagaland: Kohima. 2.Statistical Handbook of Nagaland, 2013.</t>
  </si>
  <si>
    <t>Source: Directorate of Census Operation, Nagaland: Kohima</t>
  </si>
  <si>
    <t>Table 2.11: District-wise &amp; Age-Group wise distribution of Disabled Persons (2019-20)</t>
  </si>
  <si>
    <t>Source: Ministry of Statistics &amp; Programme Implementation, Government of India</t>
  </si>
  <si>
    <t>Source: Commissioner for Persons With Disabilities, Nagaland: Kohima</t>
  </si>
  <si>
    <t>Combined</t>
  </si>
  <si>
    <t>(Source: Nagaland District Government Hospitals)</t>
  </si>
  <si>
    <t>Source: R&amp;B Section, DES Nagaland.</t>
  </si>
  <si>
    <t>District/Sub- Division</t>
  </si>
  <si>
    <t>Dist.</t>
  </si>
  <si>
    <t>NOKLAK</t>
  </si>
  <si>
    <t>WOKHA</t>
  </si>
  <si>
    <t>No of Farming Households</t>
  </si>
  <si>
    <t>Total Farming Population</t>
  </si>
</sst>
</file>

<file path=xl/styles.xml><?xml version="1.0" encoding="utf-8"?>
<styleSheet xmlns="http://schemas.openxmlformats.org/spreadsheetml/2006/main">
  <numFmts count="7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00"/>
    <numFmt numFmtId="168" formatCode="0_)"/>
    <numFmt numFmtId="169" formatCode="\(0\)"/>
    <numFmt numFmtId="170" formatCode="0.0_)"/>
  </numFmts>
  <fonts count="67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charset val="134"/>
    </font>
    <font>
      <b/>
      <i/>
      <sz val="8"/>
      <color indexed="8"/>
      <name val="Calibri"/>
      <family val="2"/>
      <charset val="134"/>
    </font>
    <font>
      <sz val="10"/>
      <color indexed="8"/>
      <name val="Calibri"/>
      <family val="2"/>
      <charset val="134"/>
    </font>
    <font>
      <b/>
      <sz val="12"/>
      <color indexed="8"/>
      <name val="Calibri"/>
      <family val="2"/>
      <charset val="134"/>
    </font>
    <font>
      <i/>
      <sz val="11"/>
      <color indexed="8"/>
      <name val="Calibri"/>
      <family val="2"/>
      <charset val="134"/>
    </font>
    <font>
      <b/>
      <sz val="10"/>
      <color indexed="8"/>
      <name val="Calibri"/>
      <family val="2"/>
      <charset val="134"/>
    </font>
    <font>
      <sz val="12"/>
      <color indexed="8"/>
      <name val="Times New Roman"/>
      <family val="1"/>
      <charset val="134"/>
    </font>
    <font>
      <sz val="14"/>
      <color theme="1"/>
      <name val="Calibri"/>
      <family val="2"/>
      <scheme val="minor"/>
    </font>
    <font>
      <i/>
      <sz val="12"/>
      <color indexed="8"/>
      <name val="Calibri"/>
      <family val="2"/>
    </font>
    <font>
      <b/>
      <sz val="8"/>
      <color indexed="8"/>
      <name val="Calibri"/>
      <family val="2"/>
      <charset val="134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b/>
      <i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0"/>
      <name val="Times New Roman"/>
      <family val="1"/>
    </font>
    <font>
      <sz val="10"/>
      <name val="Book Antiqua"/>
      <family val="1"/>
    </font>
    <font>
      <sz val="12"/>
      <name val="Book Antiqua"/>
      <family val="1"/>
    </font>
    <font>
      <b/>
      <i/>
      <sz val="11"/>
      <name val="Book Antiqua"/>
      <family val="1"/>
    </font>
    <font>
      <sz val="9"/>
      <name val="Book Antiqua"/>
      <family val="1"/>
    </font>
    <font>
      <b/>
      <sz val="10"/>
      <name val="Book Antiqua"/>
      <family val="1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Book Antiqua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Book Antiqua"/>
      <family val="1"/>
    </font>
    <font>
      <sz val="10"/>
      <color theme="1"/>
      <name val="Book Antiqua"/>
      <family val="1"/>
    </font>
    <font>
      <b/>
      <i/>
      <sz val="12"/>
      <name val="Times New Roman"/>
      <family val="1"/>
    </font>
    <font>
      <b/>
      <sz val="9"/>
      <name val="Book Antiqua"/>
      <family val="1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5">
    <xf numFmtId="0" fontId="0" fillId="0" borderId="0">
      <alignment vertical="center"/>
    </xf>
    <xf numFmtId="164" fontId="28" fillId="0" borderId="0" applyFont="0" applyFill="0" applyBorder="0" applyAlignment="0" applyProtection="0"/>
    <xf numFmtId="0" fontId="13" fillId="0" borderId="0"/>
    <xf numFmtId="0" fontId="1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34" fillId="0" borderId="0"/>
    <xf numFmtId="0" fontId="34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52" fillId="4" borderId="0" applyNumberFormat="0" applyBorder="0" applyAlignment="0" applyProtection="0"/>
    <xf numFmtId="0" fontId="53" fillId="5" borderId="0" applyNumberFormat="0" applyBorder="0" applyAlignment="0" applyProtection="0"/>
    <xf numFmtId="0" fontId="7" fillId="0" borderId="0"/>
    <xf numFmtId="0" fontId="6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536">
    <xf numFmtId="0" fontId="0" fillId="0" borderId="0" xfId="0" applyAlignment="1"/>
    <xf numFmtId="0" fontId="14" fillId="0" borderId="0" xfId="0" applyFont="1" applyAlignment="1">
      <alignment horizontal="justify"/>
    </xf>
    <xf numFmtId="0" fontId="14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justify" vertical="top" wrapText="1"/>
    </xf>
    <xf numFmtId="0" fontId="14" fillId="0" borderId="3" xfId="0" applyFont="1" applyBorder="1" applyAlignment="1">
      <alignment horizontal="justify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justify" vertical="top" wrapText="1"/>
    </xf>
    <xf numFmtId="0" fontId="17" fillId="0" borderId="3" xfId="0" applyFont="1" applyBorder="1" applyAlignment="1">
      <alignment horizontal="justify" vertical="top" wrapText="1"/>
    </xf>
    <xf numFmtId="0" fontId="15" fillId="0" borderId="6" xfId="0" applyFont="1" applyBorder="1" applyAlignment="1">
      <alignment horizontal="center" vertical="top" wrapText="1"/>
    </xf>
    <xf numFmtId="1" fontId="14" fillId="0" borderId="2" xfId="0" applyNumberFormat="1" applyFont="1" applyBorder="1" applyAlignment="1">
      <alignment horizontal="center" vertical="top" wrapText="1"/>
    </xf>
    <xf numFmtId="1" fontId="14" fillId="2" borderId="2" xfId="0" applyNumberFormat="1" applyFont="1" applyFill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2" fontId="14" fillId="0" borderId="2" xfId="0" applyNumberFormat="1" applyFont="1" applyBorder="1" applyAlignment="1">
      <alignment horizontal="center" vertical="top" wrapText="1"/>
    </xf>
    <xf numFmtId="2" fontId="17" fillId="0" borderId="2" xfId="0" applyNumberFormat="1" applyFont="1" applyBorder="1" applyAlignment="1">
      <alignment horizontal="center" vertical="top" wrapText="1"/>
    </xf>
    <xf numFmtId="3" fontId="14" fillId="0" borderId="2" xfId="0" applyNumberFormat="1" applyFont="1" applyBorder="1" applyAlignment="1">
      <alignment horizontal="center" vertical="top" wrapText="1"/>
    </xf>
    <xf numFmtId="0" fontId="20" fillId="0" borderId="0" xfId="0" applyFont="1" applyAlignment="1">
      <alignment horizontal="justify"/>
    </xf>
    <xf numFmtId="0" fontId="21" fillId="0" borderId="0" xfId="0" applyFont="1" applyAlignment="1"/>
    <xf numFmtId="0" fontId="16" fillId="0" borderId="0" xfId="0" applyFont="1" applyAlignment="1"/>
    <xf numFmtId="0" fontId="19" fillId="0" borderId="0" xfId="0" applyFont="1" applyAlignment="1">
      <alignment horizontal="center"/>
    </xf>
    <xf numFmtId="0" fontId="23" fillId="0" borderId="0" xfId="0" applyFont="1" applyAlignment="1"/>
    <xf numFmtId="0" fontId="0" fillId="0" borderId="1" xfId="0" applyBorder="1" applyAlignment="1"/>
    <xf numFmtId="0" fontId="0" fillId="0" borderId="0" xfId="0" applyAlignment="1"/>
    <xf numFmtId="0" fontId="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0" fillId="0" borderId="1" xfId="0" applyFill="1" applyBorder="1" applyAlignment="1"/>
    <xf numFmtId="3" fontId="0" fillId="0" borderId="0" xfId="0" applyNumberFormat="1" applyAlignment="1"/>
    <xf numFmtId="0" fontId="24" fillId="0" borderId="0" xfId="0" applyFont="1" applyAlignment="1">
      <alignment horizontal="center" vertical="center"/>
    </xf>
    <xf numFmtId="3" fontId="0" fillId="2" borderId="0" xfId="0" applyNumberFormat="1" applyFill="1" applyAlignment="1"/>
    <xf numFmtId="3" fontId="30" fillId="0" borderId="1" xfId="0" applyNumberFormat="1" applyFont="1" applyBorder="1" applyAlignment="1">
      <alignment horizontal="center"/>
    </xf>
    <xf numFmtId="49" fontId="32" fillId="3" borderId="1" xfId="0" applyNumberFormat="1" applyFont="1" applyFill="1" applyBorder="1" applyAlignment="1"/>
    <xf numFmtId="3" fontId="27" fillId="0" borderId="1" xfId="0" applyNumberFormat="1" applyFont="1" applyBorder="1" applyAlignment="1">
      <alignment horizontal="center"/>
    </xf>
    <xf numFmtId="3" fontId="30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49" fontId="32" fillId="0" borderId="1" xfId="0" applyNumberFormat="1" applyFont="1" applyBorder="1" applyAlignment="1"/>
    <xf numFmtId="3" fontId="27" fillId="3" borderId="1" xfId="0" applyNumberFormat="1" applyFont="1" applyFill="1" applyBorder="1" applyAlignment="1"/>
    <xf numFmtId="0" fontId="32" fillId="0" borderId="1" xfId="0" applyNumberFormat="1" applyFont="1" applyBorder="1" applyAlignment="1"/>
    <xf numFmtId="0" fontId="0" fillId="0" borderId="0" xfId="0" applyAlignment="1"/>
    <xf numFmtId="0" fontId="15" fillId="0" borderId="24" xfId="0" applyFont="1" applyBorder="1" applyAlignment="1">
      <alignment horizontal="center" vertical="top" wrapText="1"/>
    </xf>
    <xf numFmtId="0" fontId="14" fillId="0" borderId="24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top" wrapText="1"/>
    </xf>
    <xf numFmtId="0" fontId="17" fillId="0" borderId="32" xfId="0" applyFont="1" applyBorder="1" applyAlignment="1">
      <alignment horizontal="center" vertical="top" wrapText="1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0" borderId="33" xfId="0" applyFont="1" applyBorder="1" applyAlignment="1">
      <alignment horizontal="justify" vertical="top" wrapText="1"/>
    </xf>
    <xf numFmtId="0" fontId="17" fillId="0" borderId="24" xfId="0" applyFont="1" applyBorder="1" applyAlignment="1">
      <alignment horizontal="justify" vertical="top" wrapText="1"/>
    </xf>
    <xf numFmtId="0" fontId="14" fillId="0" borderId="34" xfId="0" applyFont="1" applyBorder="1" applyAlignment="1">
      <alignment horizontal="center" vertical="top" wrapText="1"/>
    </xf>
    <xf numFmtId="0" fontId="14" fillId="0" borderId="35" xfId="0" applyFont="1" applyBorder="1" applyAlignment="1">
      <alignment horizontal="center" vertical="top" wrapText="1"/>
    </xf>
    <xf numFmtId="0" fontId="15" fillId="0" borderId="28" xfId="0" applyFont="1" applyBorder="1" applyAlignment="1">
      <alignment horizontal="center" vertical="top" wrapText="1"/>
    </xf>
    <xf numFmtId="0" fontId="15" fillId="0" borderId="26" xfId="0" applyFont="1" applyBorder="1" applyAlignment="1">
      <alignment horizontal="center" vertical="top" wrapText="1"/>
    </xf>
    <xf numFmtId="0" fontId="15" fillId="0" borderId="25" xfId="0" applyFont="1" applyBorder="1" applyAlignment="1">
      <alignment horizontal="center" vertical="top" wrapText="1"/>
    </xf>
    <xf numFmtId="0" fontId="38" fillId="0" borderId="0" xfId="9" applyFont="1"/>
    <xf numFmtId="0" fontId="38" fillId="0" borderId="0" xfId="9" applyFont="1" applyBorder="1" applyAlignment="1"/>
    <xf numFmtId="0" fontId="46" fillId="0" borderId="0" xfId="9" applyFont="1"/>
    <xf numFmtId="0" fontId="40" fillId="0" borderId="0" xfId="9" applyFont="1"/>
    <xf numFmtId="0" fontId="38" fillId="0" borderId="0" xfId="9" applyFont="1" applyAlignment="1">
      <alignment horizontal="center"/>
    </xf>
    <xf numFmtId="0" fontId="31" fillId="0" borderId="0" xfId="21" applyFont="1"/>
    <xf numFmtId="0" fontId="32" fillId="0" borderId="0" xfId="21" applyFont="1"/>
    <xf numFmtId="0" fontId="10" fillId="0" borderId="0" xfId="21"/>
    <xf numFmtId="0" fontId="31" fillId="0" borderId="1" xfId="21" applyFont="1" applyBorder="1"/>
    <xf numFmtId="0" fontId="32" fillId="0" borderId="1" xfId="21" applyFont="1" applyBorder="1" applyAlignment="1">
      <alignment horizontal="center"/>
    </xf>
    <xf numFmtId="0" fontId="32" fillId="0" borderId="1" xfId="21" applyFont="1" applyBorder="1"/>
    <xf numFmtId="0" fontId="31" fillId="0" borderId="1" xfId="21" applyFont="1" applyBorder="1" applyAlignment="1">
      <alignment horizontal="center"/>
    </xf>
    <xf numFmtId="0" fontId="50" fillId="0" borderId="0" xfId="21" applyFont="1"/>
    <xf numFmtId="0" fontId="37" fillId="0" borderId="0" xfId="9" applyFont="1"/>
    <xf numFmtId="0" fontId="9" fillId="0" borderId="0" xfId="22"/>
    <xf numFmtId="0" fontId="51" fillId="0" borderId="0" xfId="22" applyFont="1"/>
    <xf numFmtId="2" fontId="51" fillId="0" borderId="0" xfId="22" applyNumberFormat="1" applyFont="1" applyBorder="1"/>
    <xf numFmtId="0" fontId="51" fillId="0" borderId="0" xfId="22" applyFont="1" applyBorder="1" applyAlignment="1">
      <alignment horizontal="center"/>
    </xf>
    <xf numFmtId="16" fontId="51" fillId="0" borderId="0" xfId="22" applyNumberFormat="1" applyFont="1" applyBorder="1" applyAlignment="1">
      <alignment horizontal="center"/>
    </xf>
    <xf numFmtId="0" fontId="51" fillId="0" borderId="0" xfId="22" applyFont="1" applyBorder="1"/>
    <xf numFmtId="0" fontId="32" fillId="0" borderId="0" xfId="22" applyFont="1" applyBorder="1"/>
    <xf numFmtId="0" fontId="9" fillId="0" borderId="0" xfId="22" applyAlignment="1">
      <alignment horizontal="center"/>
    </xf>
    <xf numFmtId="0" fontId="9" fillId="0" borderId="1" xfId="22" applyBorder="1" applyAlignment="1">
      <alignment horizontal="center"/>
    </xf>
    <xf numFmtId="0" fontId="9" fillId="0" borderId="0" xfId="22" applyAlignment="1">
      <alignment vertical="center"/>
    </xf>
    <xf numFmtId="0" fontId="9" fillId="0" borderId="1" xfId="22" applyBorder="1"/>
    <xf numFmtId="0" fontId="50" fillId="0" borderId="17" xfId="22" applyFont="1" applyBorder="1" applyAlignment="1">
      <alignment vertical="center"/>
    </xf>
    <xf numFmtId="0" fontId="9" fillId="0" borderId="16" xfId="22" applyBorder="1"/>
    <xf numFmtId="0" fontId="9" fillId="0" borderId="0" xfId="22" applyBorder="1"/>
    <xf numFmtId="166" fontId="9" fillId="0" borderId="0" xfId="22" applyNumberFormat="1" applyBorder="1"/>
    <xf numFmtId="2" fontId="9" fillId="0" borderId="0" xfId="22" applyNumberFormat="1"/>
    <xf numFmtId="3" fontId="46" fillId="0" borderId="1" xfId="0" applyNumberFormat="1" applyFont="1" applyBorder="1" applyAlignment="1"/>
    <xf numFmtId="3" fontId="46" fillId="0" borderId="1" xfId="0" applyNumberFormat="1" applyFont="1" applyBorder="1" applyAlignment="1">
      <alignment horizontal="center" vertical="center" wrapText="1"/>
    </xf>
    <xf numFmtId="3" fontId="45" fillId="0" borderId="1" xfId="0" applyNumberFormat="1" applyFont="1" applyBorder="1" applyAlignment="1">
      <alignment vertical="center"/>
    </xf>
    <xf numFmtId="3" fontId="45" fillId="0" borderId="1" xfId="0" applyNumberFormat="1" applyFont="1" applyBorder="1" applyAlignment="1">
      <alignment horizontal="center"/>
    </xf>
    <xf numFmtId="3" fontId="44" fillId="3" borderId="1" xfId="0" applyNumberFormat="1" applyFont="1" applyFill="1" applyBorder="1" applyAlignment="1">
      <alignment horizontal="left"/>
    </xf>
    <xf numFmtId="3" fontId="46" fillId="3" borderId="1" xfId="0" applyNumberFormat="1" applyFont="1" applyFill="1" applyBorder="1" applyAlignment="1">
      <alignment horizontal="left"/>
    </xf>
    <xf numFmtId="2" fontId="31" fillId="0" borderId="1" xfId="0" applyNumberFormat="1" applyFont="1" applyBorder="1" applyAlignment="1">
      <alignment horizontal="center"/>
    </xf>
    <xf numFmtId="2" fontId="32" fillId="0" borderId="1" xfId="0" applyNumberFormat="1" applyFont="1" applyBorder="1" applyAlignment="1">
      <alignment horizontal="center"/>
    </xf>
    <xf numFmtId="2" fontId="32" fillId="3" borderId="1" xfId="0" applyNumberFormat="1" applyFont="1" applyFill="1" applyBorder="1" applyAlignment="1">
      <alignment horizontal="center"/>
    </xf>
    <xf numFmtId="0" fontId="31" fillId="0" borderId="12" xfId="22" applyFont="1" applyBorder="1" applyAlignment="1">
      <alignment horizontal="center" vertical="center"/>
    </xf>
    <xf numFmtId="0" fontId="32" fillId="0" borderId="1" xfId="22" applyFont="1" applyBorder="1" applyAlignment="1">
      <alignment horizontal="center" vertical="center"/>
    </xf>
    <xf numFmtId="0" fontId="32" fillId="0" borderId="16" xfId="22" applyFont="1" applyBorder="1" applyAlignment="1">
      <alignment horizontal="center" vertical="center"/>
    </xf>
    <xf numFmtId="0" fontId="31" fillId="0" borderId="1" xfId="22" applyFont="1" applyBorder="1" applyAlignment="1">
      <alignment horizontal="center"/>
    </xf>
    <xf numFmtId="16" fontId="32" fillId="0" borderId="1" xfId="22" applyNumberFormat="1" applyFont="1" applyBorder="1" applyAlignment="1">
      <alignment horizontal="center"/>
    </xf>
    <xf numFmtId="0" fontId="32" fillId="0" borderId="1" xfId="22" applyFont="1" applyBorder="1" applyAlignment="1">
      <alignment horizontal="center"/>
    </xf>
    <xf numFmtId="3" fontId="32" fillId="0" borderId="1" xfId="22" applyNumberFormat="1" applyFont="1" applyBorder="1" applyAlignment="1">
      <alignment horizontal="center"/>
    </xf>
    <xf numFmtId="0" fontId="31" fillId="0" borderId="1" xfId="22" applyFont="1" applyBorder="1"/>
    <xf numFmtId="0" fontId="32" fillId="0" borderId="1" xfId="22" applyFont="1" applyBorder="1"/>
    <xf numFmtId="0" fontId="0" fillId="0" borderId="0" xfId="0" applyBorder="1" applyAlignment="1"/>
    <xf numFmtId="0" fontId="14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justify" vertical="top" wrapText="1"/>
    </xf>
    <xf numFmtId="3" fontId="14" fillId="0" borderId="0" xfId="0" applyNumberFormat="1" applyFont="1" applyBorder="1" applyAlignment="1">
      <alignment horizontal="center" vertical="top" wrapText="1"/>
    </xf>
    <xf numFmtId="3" fontId="27" fillId="0" borderId="0" xfId="0" applyNumberFormat="1" applyFont="1" applyBorder="1" applyAlignment="1">
      <alignment horizontal="center"/>
    </xf>
    <xf numFmtId="2" fontId="32" fillId="0" borderId="0" xfId="0" applyNumberFormat="1" applyFont="1" applyBorder="1" applyAlignment="1"/>
    <xf numFmtId="0" fontId="32" fillId="0" borderId="0" xfId="21" applyFont="1" applyBorder="1"/>
    <xf numFmtId="0" fontId="32" fillId="0" borderId="0" xfId="21" applyFont="1" applyFill="1" applyBorder="1" applyAlignment="1">
      <alignment horizontal="center"/>
    </xf>
    <xf numFmtId="0" fontId="48" fillId="0" borderId="0" xfId="26" applyFont="1" applyAlignment="1">
      <alignment horizontal="center"/>
    </xf>
    <xf numFmtId="0" fontId="48" fillId="0" borderId="0" xfId="26" applyFont="1"/>
    <xf numFmtId="0" fontId="7" fillId="0" borderId="0" xfId="26"/>
    <xf numFmtId="0" fontId="47" fillId="0" borderId="0" xfId="26" applyFont="1" applyAlignment="1">
      <alignment horizontal="center"/>
    </xf>
    <xf numFmtId="0" fontId="48" fillId="0" borderId="0" xfId="26" applyFont="1" applyAlignment="1">
      <alignment horizontal="center" wrapText="1"/>
    </xf>
    <xf numFmtId="0" fontId="32" fillId="0" borderId="0" xfId="26" applyFont="1" applyAlignment="1"/>
    <xf numFmtId="0" fontId="31" fillId="0" borderId="1" xfId="26" applyFont="1" applyBorder="1" applyAlignment="1">
      <alignment horizontal="center"/>
    </xf>
    <xf numFmtId="0" fontId="32" fillId="0" borderId="1" xfId="26" applyFont="1" applyBorder="1" applyAlignment="1">
      <alignment horizontal="center"/>
    </xf>
    <xf numFmtId="0" fontId="32" fillId="0" borderId="1" xfId="26" applyFont="1" applyBorder="1" applyAlignment="1">
      <alignment horizontal="center" wrapText="1"/>
    </xf>
    <xf numFmtId="0" fontId="5" fillId="0" borderId="0" xfId="26" applyFont="1"/>
    <xf numFmtId="1" fontId="54" fillId="2" borderId="2" xfId="0" applyNumberFormat="1" applyFont="1" applyFill="1" applyBorder="1" applyAlignment="1">
      <alignment horizontal="center" vertical="top" wrapText="1"/>
    </xf>
    <xf numFmtId="0" fontId="32" fillId="0" borderId="0" xfId="26" applyFont="1" applyAlignment="1">
      <alignment horizontal="left"/>
    </xf>
    <xf numFmtId="0" fontId="44" fillId="0" borderId="39" xfId="26" applyFont="1" applyBorder="1" applyAlignment="1">
      <alignment horizontal="center" vertical="center"/>
    </xf>
    <xf numFmtId="0" fontId="46" fillId="0" borderId="39" xfId="26" applyFont="1" applyBorder="1" applyAlignment="1">
      <alignment horizontal="center"/>
    </xf>
    <xf numFmtId="0" fontId="46" fillId="0" borderId="39" xfId="26" applyFont="1" applyBorder="1"/>
    <xf numFmtId="0" fontId="32" fillId="0" borderId="1" xfId="26" quotePrefix="1" applyFont="1" applyBorder="1" applyAlignment="1">
      <alignment horizontal="center"/>
    </xf>
    <xf numFmtId="0" fontId="46" fillId="0" borderId="1" xfId="26" applyFont="1" applyBorder="1" applyAlignment="1">
      <alignment horizontal="center"/>
    </xf>
    <xf numFmtId="0" fontId="46" fillId="0" borderId="39" xfId="26" applyFont="1" applyBorder="1" applyAlignment="1">
      <alignment wrapText="1"/>
    </xf>
    <xf numFmtId="0" fontId="44" fillId="0" borderId="39" xfId="26" applyFont="1" applyBorder="1" applyAlignment="1">
      <alignment horizontal="center"/>
    </xf>
    <xf numFmtId="0" fontId="0" fillId="0" borderId="0" xfId="0" applyAlignment="1"/>
    <xf numFmtId="0" fontId="24" fillId="0" borderId="0" xfId="0" applyFont="1" applyAlignment="1">
      <alignment horizontal="left"/>
    </xf>
    <xf numFmtId="0" fontId="43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/>
    </xf>
    <xf numFmtId="0" fontId="47" fillId="0" borderId="39" xfId="0" applyFont="1" applyBorder="1" applyAlignment="1"/>
    <xf numFmtId="0" fontId="48" fillId="0" borderId="1" xfId="0" quotePrefix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7" fillId="0" borderId="39" xfId="0" applyFont="1" applyBorder="1" applyAlignment="1">
      <alignment wrapText="1"/>
    </xf>
    <xf numFmtId="0" fontId="47" fillId="0" borderId="15" xfId="0" applyFont="1" applyBorder="1" applyAlignment="1">
      <alignment horizontal="center"/>
    </xf>
    <xf numFmtId="0" fontId="43" fillId="0" borderId="39" xfId="0" applyFont="1" applyBorder="1" applyAlignment="1">
      <alignment horizontal="center"/>
    </xf>
    <xf numFmtId="0" fontId="48" fillId="0" borderId="0" xfId="0" applyFont="1" applyAlignment="1"/>
    <xf numFmtId="0" fontId="48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28" applyFont="1" applyAlignment="1">
      <alignment horizontal="center"/>
    </xf>
    <xf numFmtId="0" fontId="49" fillId="0" borderId="0" xfId="28" applyFont="1" applyAlignment="1">
      <alignment horizontal="center"/>
    </xf>
    <xf numFmtId="0" fontId="50" fillId="0" borderId="0" xfId="28" applyFont="1"/>
    <xf numFmtId="0" fontId="4" fillId="0" borderId="0" xfId="28"/>
    <xf numFmtId="0" fontId="4" fillId="0" borderId="0" xfId="28" applyAlignment="1">
      <alignment horizontal="center"/>
    </xf>
    <xf numFmtId="0" fontId="50" fillId="0" borderId="1" xfId="28" applyFont="1" applyBorder="1" applyAlignment="1">
      <alignment horizontal="center" vertical="center" wrapText="1"/>
    </xf>
    <xf numFmtId="0" fontId="4" fillId="0" borderId="1" xfId="28" applyFont="1" applyBorder="1" applyAlignment="1">
      <alignment horizontal="center" vertical="center"/>
    </xf>
    <xf numFmtId="0" fontId="4" fillId="0" borderId="1" xfId="28" applyFont="1" applyBorder="1" applyAlignment="1">
      <alignment horizontal="left" vertical="center"/>
    </xf>
    <xf numFmtId="2" fontId="4" fillId="0" borderId="1" xfId="28" applyNumberFormat="1" applyFont="1" applyBorder="1" applyAlignment="1">
      <alignment horizontal="center" vertical="center"/>
    </xf>
    <xf numFmtId="167" fontId="50" fillId="0" borderId="1" xfId="28" applyNumberFormat="1" applyFont="1" applyBorder="1" applyAlignment="1">
      <alignment horizontal="center" vertical="center"/>
    </xf>
    <xf numFmtId="2" fontId="50" fillId="0" borderId="1" xfId="28" applyNumberFormat="1" applyFont="1" applyBorder="1" applyAlignment="1">
      <alignment horizontal="center" vertical="center"/>
    </xf>
    <xf numFmtId="0" fontId="38" fillId="0" borderId="0" xfId="28" applyFont="1" applyAlignment="1">
      <alignment horizontal="center"/>
    </xf>
    <xf numFmtId="0" fontId="49" fillId="0" borderId="1" xfId="0" applyFont="1" applyBorder="1" applyAlignment="1">
      <alignment horizontal="center"/>
    </xf>
    <xf numFmtId="0" fontId="50" fillId="0" borderId="1" xfId="19" applyFont="1" applyBorder="1" applyAlignment="1">
      <alignment horizontal="center"/>
    </xf>
    <xf numFmtId="0" fontId="4" fillId="0" borderId="1" xfId="19" applyFont="1" applyBorder="1" applyAlignment="1">
      <alignment horizontal="center"/>
    </xf>
    <xf numFmtId="0" fontId="4" fillId="0" borderId="1" xfId="26" applyFont="1" applyBorder="1" applyAlignment="1">
      <alignment horizontal="center"/>
    </xf>
    <xf numFmtId="0" fontId="50" fillId="0" borderId="1" xfId="26" applyFont="1" applyBorder="1" applyAlignment="1">
      <alignment horizontal="center"/>
    </xf>
    <xf numFmtId="0" fontId="50" fillId="0" borderId="1" xfId="26" applyFont="1" applyFill="1" applyBorder="1" applyAlignment="1">
      <alignment horizontal="center"/>
    </xf>
    <xf numFmtId="0" fontId="56" fillId="0" borderId="0" xfId="9" applyFont="1" applyFill="1" applyAlignment="1">
      <alignment horizontal="left"/>
    </xf>
    <xf numFmtId="0" fontId="58" fillId="0" borderId="0" xfId="19" applyFont="1"/>
    <xf numFmtId="0" fontId="59" fillId="0" borderId="0" xfId="9" applyFont="1"/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60" fillId="3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58" fillId="0" borderId="0" xfId="0" applyFont="1" applyAlignment="1"/>
    <xf numFmtId="0" fontId="38" fillId="0" borderId="0" xfId="28" applyFont="1"/>
    <xf numFmtId="0" fontId="41" fillId="0" borderId="0" xfId="28" applyFont="1" applyAlignment="1">
      <alignment vertical="center" wrapText="1"/>
    </xf>
    <xf numFmtId="0" fontId="47" fillId="0" borderId="0" xfId="28" applyFont="1" applyAlignment="1">
      <alignment horizontal="center"/>
    </xf>
    <xf numFmtId="0" fontId="47" fillId="0" borderId="0" xfId="28" applyFont="1"/>
    <xf numFmtId="0" fontId="48" fillId="3" borderId="1" xfId="28" applyFont="1" applyFill="1" applyBorder="1" applyAlignment="1">
      <alignment horizontal="center"/>
    </xf>
    <xf numFmtId="0" fontId="48" fillId="3" borderId="0" xfId="28" applyFont="1" applyFill="1" applyAlignment="1">
      <alignment horizontal="center"/>
    </xf>
    <xf numFmtId="0" fontId="48" fillId="3" borderId="0" xfId="28" applyFont="1" applyFill="1"/>
    <xf numFmtId="0" fontId="47" fillId="3" borderId="1" xfId="28" applyFont="1" applyFill="1" applyBorder="1" applyAlignment="1">
      <alignment horizontal="center"/>
    </xf>
    <xf numFmtId="0" fontId="47" fillId="3" borderId="0" xfId="28" applyFont="1" applyFill="1" applyAlignment="1">
      <alignment horizontal="center"/>
    </xf>
    <xf numFmtId="0" fontId="47" fillId="3" borderId="0" xfId="28" applyFont="1" applyFill="1"/>
    <xf numFmtId="0" fontId="43" fillId="0" borderId="0" xfId="28" applyFont="1"/>
    <xf numFmtId="0" fontId="43" fillId="0" borderId="0" xfId="28" applyFont="1" applyAlignment="1">
      <alignment horizontal="center"/>
    </xf>
    <xf numFmtId="0" fontId="38" fillId="0" borderId="0" xfId="28" applyFont="1" applyAlignment="1">
      <alignment horizontal="left"/>
    </xf>
    <xf numFmtId="0" fontId="38" fillId="0" borderId="0" xfId="28" applyFont="1" applyAlignment="1">
      <alignment wrapText="1"/>
    </xf>
    <xf numFmtId="0" fontId="63" fillId="3" borderId="0" xfId="28" applyFont="1" applyFill="1" applyAlignment="1">
      <alignment horizontal="center"/>
    </xf>
    <xf numFmtId="0" fontId="38" fillId="3" borderId="0" xfId="28" applyFont="1" applyFill="1" applyAlignment="1">
      <alignment horizontal="center"/>
    </xf>
    <xf numFmtId="0" fontId="39" fillId="0" borderId="0" xfId="28" applyFont="1" applyAlignment="1">
      <alignment horizontal="center"/>
    </xf>
    <xf numFmtId="0" fontId="47" fillId="3" borderId="19" xfId="28" applyFont="1" applyFill="1" applyBorder="1" applyAlignment="1">
      <alignment horizontal="center"/>
    </xf>
    <xf numFmtId="0" fontId="44" fillId="3" borderId="23" xfId="28" applyFont="1" applyFill="1" applyBorder="1" applyAlignment="1">
      <alignment vertical="center" wrapText="1"/>
    </xf>
    <xf numFmtId="0" fontId="47" fillId="3" borderId="12" xfId="28" applyFont="1" applyFill="1" applyBorder="1" applyAlignment="1">
      <alignment horizontal="left" vertical="center" wrapText="1"/>
    </xf>
    <xf numFmtId="0" fontId="44" fillId="3" borderId="23" xfId="28" applyFont="1" applyFill="1" applyBorder="1" applyAlignment="1" applyProtection="1">
      <alignment vertical="center" wrapText="1"/>
      <protection locked="0"/>
    </xf>
    <xf numFmtId="0" fontId="44" fillId="3" borderId="16" xfId="28" applyFont="1" applyFill="1" applyBorder="1" applyAlignment="1" applyProtection="1">
      <alignment vertical="center" wrapText="1"/>
      <protection locked="0"/>
    </xf>
    <xf numFmtId="0" fontId="44" fillId="3" borderId="16" xfId="28" applyFont="1" applyFill="1" applyBorder="1" applyAlignment="1" applyProtection="1">
      <alignment horizontal="center" vertical="center" wrapText="1"/>
      <protection locked="0"/>
    </xf>
    <xf numFmtId="0" fontId="44" fillId="3" borderId="22" xfId="28" applyFont="1" applyFill="1" applyBorder="1" applyAlignment="1" applyProtection="1">
      <alignment horizontal="center" vertical="center" wrapText="1"/>
      <protection locked="0"/>
    </xf>
    <xf numFmtId="0" fontId="47" fillId="3" borderId="19" xfId="28" applyFont="1" applyFill="1" applyBorder="1" applyAlignment="1" applyProtection="1">
      <alignment horizontal="center"/>
      <protection locked="0"/>
    </xf>
    <xf numFmtId="0" fontId="47" fillId="3" borderId="12" xfId="28" applyFont="1" applyFill="1" applyBorder="1" applyAlignment="1" applyProtection="1">
      <alignment horizontal="left"/>
      <protection locked="0"/>
    </xf>
    <xf numFmtId="0" fontId="47" fillId="3" borderId="12" xfId="28" applyFont="1" applyFill="1" applyBorder="1" applyAlignment="1" applyProtection="1">
      <alignment horizontal="left" vertical="center" wrapText="1"/>
      <protection locked="0"/>
    </xf>
    <xf numFmtId="0" fontId="47" fillId="3" borderId="1" xfId="28" applyFont="1" applyFill="1" applyBorder="1" applyAlignment="1" applyProtection="1">
      <alignment horizontal="center"/>
      <protection locked="0"/>
    </xf>
    <xf numFmtId="0" fontId="48" fillId="3" borderId="1" xfId="28" applyFont="1" applyFill="1" applyBorder="1" applyAlignment="1" applyProtection="1">
      <alignment horizontal="center"/>
      <protection locked="0"/>
    </xf>
    <xf numFmtId="0" fontId="48" fillId="3" borderId="13" xfId="28" applyFont="1" applyFill="1" applyBorder="1" applyAlignment="1" applyProtection="1">
      <alignment horizontal="center"/>
      <protection locked="0"/>
    </xf>
    <xf numFmtId="0" fontId="47" fillId="3" borderId="23" xfId="28" applyFont="1" applyFill="1" applyBorder="1" applyAlignment="1" applyProtection="1">
      <alignment horizontal="center"/>
      <protection locked="0"/>
    </xf>
    <xf numFmtId="0" fontId="47" fillId="3" borderId="16" xfId="28" applyFont="1" applyFill="1" applyBorder="1" applyAlignment="1" applyProtection="1">
      <alignment horizontal="left"/>
      <protection locked="0"/>
    </xf>
    <xf numFmtId="0" fontId="47" fillId="3" borderId="16" xfId="28" applyFont="1" applyFill="1" applyBorder="1" applyAlignment="1" applyProtection="1">
      <alignment horizontal="left" vertical="center" wrapText="1"/>
      <protection locked="0"/>
    </xf>
    <xf numFmtId="0" fontId="47" fillId="3" borderId="12" xfId="28" applyFont="1" applyFill="1" applyBorder="1" applyAlignment="1" applyProtection="1">
      <alignment horizontal="left" vertical="center"/>
      <protection locked="0"/>
    </xf>
    <xf numFmtId="0" fontId="47" fillId="3" borderId="12" xfId="28" applyFont="1" applyFill="1" applyBorder="1" applyAlignment="1" applyProtection="1">
      <alignment horizontal="left" wrapText="1"/>
      <protection locked="0"/>
    </xf>
    <xf numFmtId="0" fontId="47" fillId="3" borderId="16" xfId="28" applyFont="1" applyFill="1" applyBorder="1" applyAlignment="1" applyProtection="1">
      <alignment horizontal="left" vertical="center"/>
      <protection locked="0"/>
    </xf>
    <xf numFmtId="0" fontId="47" fillId="3" borderId="16" xfId="28" applyFont="1" applyFill="1" applyBorder="1" applyAlignment="1" applyProtection="1">
      <alignment horizontal="left" wrapText="1"/>
      <protection locked="0"/>
    </xf>
    <xf numFmtId="0" fontId="43" fillId="3" borderId="0" xfId="28" applyFont="1" applyFill="1" applyBorder="1" applyProtection="1">
      <protection locked="0"/>
    </xf>
    <xf numFmtId="0" fontId="4" fillId="3" borderId="44" xfId="28" applyFill="1" applyBorder="1" applyProtection="1">
      <protection locked="0"/>
    </xf>
    <xf numFmtId="0" fontId="43" fillId="3" borderId="44" xfId="28" applyFont="1" applyFill="1" applyBorder="1" applyAlignment="1" applyProtection="1">
      <alignment horizontal="center" vertical="center"/>
      <protection locked="0"/>
    </xf>
    <xf numFmtId="0" fontId="43" fillId="3" borderId="1" xfId="28" applyFont="1" applyFill="1" applyBorder="1" applyAlignment="1" applyProtection="1">
      <alignment horizontal="center"/>
      <protection locked="0"/>
    </xf>
    <xf numFmtId="0" fontId="49" fillId="3" borderId="1" xfId="28" applyFont="1" applyFill="1" applyBorder="1" applyAlignment="1" applyProtection="1">
      <alignment horizontal="center"/>
      <protection locked="0"/>
    </xf>
    <xf numFmtId="0" fontId="49" fillId="3" borderId="13" xfId="28" applyFont="1" applyFill="1" applyBorder="1" applyAlignment="1" applyProtection="1">
      <alignment horizontal="center"/>
      <protection locked="0"/>
    </xf>
    <xf numFmtId="0" fontId="4" fillId="3" borderId="0" xfId="28" applyFill="1" applyBorder="1" applyProtection="1">
      <protection locked="0"/>
    </xf>
    <xf numFmtId="0" fontId="4" fillId="3" borderId="21" xfId="28" applyFill="1" applyBorder="1" applyProtection="1">
      <protection locked="0"/>
    </xf>
    <xf numFmtId="0" fontId="43" fillId="3" borderId="12" xfId="28" applyFont="1" applyFill="1" applyBorder="1" applyAlignment="1" applyProtection="1">
      <alignment horizontal="center"/>
      <protection locked="0"/>
    </xf>
    <xf numFmtId="0" fontId="49" fillId="3" borderId="12" xfId="28" applyFont="1" applyFill="1" applyBorder="1" applyAlignment="1" applyProtection="1">
      <alignment horizontal="center"/>
      <protection locked="0"/>
    </xf>
    <xf numFmtId="0" fontId="49" fillId="3" borderId="18" xfId="28" applyFont="1" applyFill="1" applyBorder="1" applyAlignment="1" applyProtection="1">
      <alignment horizontal="center"/>
      <protection locked="0"/>
    </xf>
    <xf numFmtId="0" fontId="47" fillId="3" borderId="0" xfId="28" applyFont="1" applyFill="1" applyBorder="1" applyProtection="1">
      <protection locked="0"/>
    </xf>
    <xf numFmtId="0" fontId="47" fillId="3" borderId="0" xfId="28" applyFont="1" applyFill="1" applyBorder="1" applyAlignment="1" applyProtection="1">
      <alignment wrapText="1"/>
      <protection locked="0"/>
    </xf>
    <xf numFmtId="0" fontId="47" fillId="3" borderId="12" xfId="28" applyFont="1" applyFill="1" applyBorder="1" applyAlignment="1" applyProtection="1">
      <alignment horizontal="center"/>
      <protection locked="0"/>
    </xf>
    <xf numFmtId="0" fontId="48" fillId="3" borderId="12" xfId="28" applyFont="1" applyFill="1" applyBorder="1" applyAlignment="1" applyProtection="1">
      <alignment horizontal="center"/>
      <protection locked="0"/>
    </xf>
    <xf numFmtId="0" fontId="48" fillId="3" borderId="18" xfId="28" applyFont="1" applyFill="1" applyBorder="1" applyAlignment="1" applyProtection="1">
      <alignment horizontal="center"/>
      <protection locked="0"/>
    </xf>
    <xf numFmtId="0" fontId="41" fillId="0" borderId="0" xfId="28" applyFont="1" applyAlignment="1">
      <alignment horizontal="center"/>
    </xf>
    <xf numFmtId="0" fontId="41" fillId="0" borderId="0" xfId="28" applyFont="1"/>
    <xf numFmtId="0" fontId="40" fillId="0" borderId="0" xfId="28" applyFont="1" applyAlignment="1">
      <alignment horizontal="center"/>
    </xf>
    <xf numFmtId="0" fontId="40" fillId="0" borderId="0" xfId="28" applyFont="1"/>
    <xf numFmtId="0" fontId="65" fillId="0" borderId="0" xfId="28" applyFont="1"/>
    <xf numFmtId="0" fontId="47" fillId="3" borderId="15" xfId="28" applyFont="1" applyFill="1" applyBorder="1" applyAlignment="1">
      <alignment horizontal="center"/>
    </xf>
    <xf numFmtId="0" fontId="47" fillId="3" borderId="1" xfId="28" applyFont="1" applyFill="1" applyBorder="1" applyAlignment="1">
      <alignment horizontal="left" vertical="center" wrapText="1"/>
    </xf>
    <xf numFmtId="0" fontId="47" fillId="3" borderId="1" xfId="28" applyFont="1" applyFill="1" applyBorder="1" applyAlignment="1">
      <alignment vertical="center" wrapText="1"/>
    </xf>
    <xf numFmtId="0" fontId="64" fillId="3" borderId="18" xfId="28" applyFont="1" applyFill="1" applyBorder="1" applyAlignment="1">
      <alignment horizontal="center" vertical="center"/>
    </xf>
    <xf numFmtId="0" fontId="64" fillId="3" borderId="44" xfId="28" applyFont="1" applyFill="1" applyBorder="1" applyAlignment="1">
      <alignment horizontal="center" vertical="center"/>
    </xf>
    <xf numFmtId="0" fontId="64" fillId="3" borderId="1" xfId="28" applyFont="1" applyFill="1" applyBorder="1" applyAlignment="1">
      <alignment horizontal="center" vertical="center"/>
    </xf>
    <xf numFmtId="0" fontId="64" fillId="3" borderId="15" xfId="28" applyFont="1" applyFill="1" applyBorder="1" applyAlignment="1">
      <alignment horizontal="center"/>
    </xf>
    <xf numFmtId="1" fontId="43" fillId="3" borderId="1" xfId="28" applyNumberFormat="1" applyFont="1" applyFill="1" applyBorder="1" applyAlignment="1">
      <alignment horizontal="center"/>
    </xf>
    <xf numFmtId="1" fontId="43" fillId="3" borderId="13" xfId="28" applyNumberFormat="1" applyFont="1" applyFill="1" applyBorder="1" applyAlignment="1">
      <alignment horizontal="center"/>
    </xf>
    <xf numFmtId="0" fontId="64" fillId="3" borderId="20" xfId="28" applyFont="1" applyFill="1" applyBorder="1" applyAlignment="1">
      <alignment horizontal="center" vertical="center"/>
    </xf>
    <xf numFmtId="0" fontId="64" fillId="3" borderId="0" xfId="28" applyFont="1" applyFill="1" applyAlignment="1">
      <alignment horizontal="center" vertical="center"/>
    </xf>
    <xf numFmtId="0" fontId="64" fillId="3" borderId="19" xfId="28" applyFont="1" applyFill="1" applyBorder="1" applyAlignment="1">
      <alignment horizontal="center" vertical="center"/>
    </xf>
    <xf numFmtId="0" fontId="64" fillId="3" borderId="22" xfId="28" applyFont="1" applyFill="1" applyBorder="1" applyAlignment="1">
      <alignment horizontal="center" vertical="center"/>
    </xf>
    <xf numFmtId="0" fontId="64" fillId="3" borderId="45" xfId="28" applyFont="1" applyFill="1" applyBorder="1" applyAlignment="1">
      <alignment horizontal="center" vertical="center"/>
    </xf>
    <xf numFmtId="0" fontId="64" fillId="3" borderId="23" xfId="28" applyFont="1" applyFill="1" applyBorder="1" applyAlignment="1">
      <alignment horizontal="center" vertical="center"/>
    </xf>
    <xf numFmtId="0" fontId="43" fillId="3" borderId="19" xfId="28" applyFont="1" applyFill="1" applyBorder="1" applyAlignment="1">
      <alignment horizontal="center"/>
    </xf>
    <xf numFmtId="1" fontId="43" fillId="3" borderId="12" xfId="28" applyNumberFormat="1" applyFont="1" applyFill="1" applyBorder="1" applyAlignment="1">
      <alignment horizontal="center"/>
    </xf>
    <xf numFmtId="1" fontId="43" fillId="3" borderId="18" xfId="28" applyNumberFormat="1" applyFont="1" applyFill="1" applyBorder="1" applyAlignment="1">
      <alignment horizontal="center"/>
    </xf>
    <xf numFmtId="0" fontId="49" fillId="0" borderId="1" xfId="0" applyFont="1" applyBorder="1" applyAlignment="1">
      <alignment horizontal="center" wrapText="1"/>
    </xf>
    <xf numFmtId="0" fontId="48" fillId="0" borderId="1" xfId="0" applyFont="1" applyBorder="1" applyAlignment="1">
      <alignment horizontal="center" wrapText="1"/>
    </xf>
    <xf numFmtId="0" fontId="7" fillId="0" borderId="0" xfId="26" applyBorder="1"/>
    <xf numFmtId="0" fontId="50" fillId="0" borderId="1" xfId="19" applyFont="1" applyBorder="1" applyAlignment="1">
      <alignment horizontal="center" vertical="center" wrapText="1"/>
    </xf>
    <xf numFmtId="0" fontId="4" fillId="0" borderId="1" xfId="19" applyFont="1" applyBorder="1" applyAlignment="1">
      <alignment horizontal="center" wrapText="1"/>
    </xf>
    <xf numFmtId="0" fontId="60" fillId="0" borderId="1" xfId="26" applyFont="1" applyFill="1" applyBorder="1" applyAlignment="1">
      <alignment horizontal="center" wrapText="1"/>
    </xf>
    <xf numFmtId="0" fontId="56" fillId="0" borderId="1" xfId="25" applyFont="1" applyFill="1" applyBorder="1" applyAlignment="1">
      <alignment horizontal="center" wrapText="1"/>
    </xf>
    <xf numFmtId="0" fontId="50" fillId="0" borderId="1" xfId="19" applyFont="1" applyBorder="1" applyAlignment="1">
      <alignment horizontal="center" wrapText="1"/>
    </xf>
    <xf numFmtId="0" fontId="61" fillId="0" borderId="1" xfId="26" applyFont="1" applyFill="1" applyBorder="1" applyAlignment="1">
      <alignment horizontal="center" wrapText="1"/>
    </xf>
    <xf numFmtId="0" fontId="55" fillId="0" borderId="1" xfId="24" applyFont="1" applyFill="1" applyBorder="1" applyAlignment="1">
      <alignment horizontal="center" wrapText="1"/>
    </xf>
    <xf numFmtId="0" fontId="56" fillId="0" borderId="0" xfId="9" applyFont="1"/>
    <xf numFmtId="0" fontId="59" fillId="0" borderId="0" xfId="9" applyFont="1" applyAlignment="1">
      <alignment horizontal="center"/>
    </xf>
    <xf numFmtId="0" fontId="61" fillId="0" borderId="1" xfId="28" applyFont="1" applyBorder="1" applyAlignment="1">
      <alignment horizontal="center" vertical="center" wrapText="1"/>
    </xf>
    <xf numFmtId="0" fontId="60" fillId="0" borderId="1" xfId="28" applyFont="1" applyBorder="1" applyAlignment="1">
      <alignment horizontal="center" wrapText="1"/>
    </xf>
    <xf numFmtId="0" fontId="60" fillId="0" borderId="1" xfId="25" applyFont="1" applyFill="1" applyBorder="1" applyAlignment="1">
      <alignment horizontal="center" wrapText="1"/>
    </xf>
    <xf numFmtId="0" fontId="61" fillId="0" borderId="1" xfId="28" applyFont="1" applyBorder="1" applyAlignment="1">
      <alignment horizontal="center" wrapText="1"/>
    </xf>
    <xf numFmtId="0" fontId="61" fillId="0" borderId="1" xfId="24" applyFont="1" applyFill="1" applyBorder="1" applyAlignment="1">
      <alignment horizontal="center" wrapText="1"/>
    </xf>
    <xf numFmtId="0" fontId="3" fillId="0" borderId="0" xfId="29"/>
    <xf numFmtId="0" fontId="50" fillId="0" borderId="1" xfId="29" applyFont="1" applyBorder="1" applyAlignment="1">
      <alignment horizontal="center"/>
    </xf>
    <xf numFmtId="0" fontId="3" fillId="0" borderId="1" xfId="29" applyBorder="1"/>
    <xf numFmtId="0" fontId="3" fillId="0" borderId="1" xfId="29" applyBorder="1" applyAlignment="1">
      <alignment horizontal="center"/>
    </xf>
    <xf numFmtId="0" fontId="3" fillId="0" borderId="13" xfId="29" applyBorder="1" applyAlignment="1">
      <alignment horizontal="center"/>
    </xf>
    <xf numFmtId="0" fontId="3" fillId="0" borderId="15" xfId="29" applyBorder="1" applyAlignment="1">
      <alignment horizontal="center"/>
    </xf>
    <xf numFmtId="0" fontId="0" fillId="0" borderId="1" xfId="29" applyFont="1" applyBorder="1" applyAlignment="1">
      <alignment horizontal="center"/>
    </xf>
    <xf numFmtId="0" fontId="3" fillId="0" borderId="0" xfId="29" applyAlignment="1">
      <alignment horizontal="center"/>
    </xf>
    <xf numFmtId="0" fontId="2" fillId="0" borderId="0" xfId="34"/>
    <xf numFmtId="168" fontId="24" fillId="0" borderId="1" xfId="34" applyNumberFormat="1" applyFont="1" applyBorder="1" applyAlignment="1" applyProtection="1">
      <alignment horizontal="center" vertical="center" wrapText="1"/>
      <protection locked="0"/>
    </xf>
    <xf numFmtId="169" fontId="34" fillId="0" borderId="1" xfId="34" applyNumberFormat="1" applyFont="1" applyBorder="1" applyAlignment="1" applyProtection="1">
      <alignment horizontal="center"/>
      <protection locked="0"/>
    </xf>
    <xf numFmtId="1" fontId="34" fillId="0" borderId="1" xfId="34" applyNumberFormat="1" applyFont="1" applyBorder="1" applyAlignment="1" applyProtection="1">
      <alignment horizontal="center"/>
      <protection locked="0"/>
    </xf>
    <xf numFmtId="170" fontId="24" fillId="3" borderId="1" xfId="34" applyNumberFormat="1" applyFont="1" applyFill="1" applyBorder="1" applyAlignment="1" applyProtection="1">
      <alignment horizontal="center" vertical="center"/>
      <protection locked="0"/>
    </xf>
    <xf numFmtId="168" fontId="24" fillId="3" borderId="1" xfId="34" applyNumberFormat="1" applyFont="1" applyFill="1" applyBorder="1" applyAlignment="1" applyProtection="1">
      <alignment horizontal="center" vertical="center"/>
      <protection locked="0"/>
    </xf>
    <xf numFmtId="0" fontId="24" fillId="3" borderId="1" xfId="34" applyFont="1" applyFill="1" applyBorder="1" applyAlignment="1" applyProtection="1">
      <alignment horizontal="center" vertical="center"/>
      <protection locked="0"/>
    </xf>
    <xf numFmtId="170" fontId="24" fillId="3" borderId="12" xfId="34" applyNumberFormat="1" applyFont="1" applyFill="1" applyBorder="1" applyAlignment="1" applyProtection="1">
      <alignment horizontal="center" vertical="center"/>
      <protection locked="0"/>
    </xf>
    <xf numFmtId="168" fontId="24" fillId="3" borderId="16" xfId="34" applyNumberFormat="1" applyFont="1" applyFill="1" applyBorder="1" applyAlignment="1" applyProtection="1">
      <alignment horizontal="center" vertical="center"/>
      <protection locked="0"/>
    </xf>
    <xf numFmtId="170" fontId="24" fillId="3" borderId="16" xfId="34" applyNumberFormat="1" applyFont="1" applyFill="1" applyBorder="1" applyAlignment="1" applyProtection="1">
      <alignment horizontal="center" vertical="center"/>
      <protection locked="0"/>
    </xf>
    <xf numFmtId="0" fontId="24" fillId="3" borderId="48" xfId="34" applyFont="1" applyFill="1" applyBorder="1" applyAlignment="1" applyProtection="1">
      <alignment horizontal="center" vertical="center"/>
      <protection locked="0"/>
    </xf>
    <xf numFmtId="0" fontId="24" fillId="3" borderId="54" xfId="34" applyFont="1" applyFill="1" applyBorder="1" applyAlignment="1" applyProtection="1">
      <alignment horizontal="center" vertical="center"/>
      <protection locked="0"/>
    </xf>
    <xf numFmtId="0" fontId="24" fillId="3" borderId="50" xfId="34" applyFont="1" applyFill="1" applyBorder="1" applyAlignment="1" applyProtection="1">
      <alignment horizontal="center" vertical="center"/>
      <protection locked="0"/>
    </xf>
    <xf numFmtId="0" fontId="2" fillId="3" borderId="1" xfId="34" applyFill="1" applyBorder="1" applyAlignment="1">
      <alignment horizontal="center" vertical="center"/>
    </xf>
    <xf numFmtId="170" fontId="24" fillId="3" borderId="48" xfId="34" applyNumberFormat="1" applyFont="1" applyFill="1" applyBorder="1" applyAlignment="1" applyProtection="1">
      <alignment horizontal="center"/>
      <protection locked="0"/>
    </xf>
    <xf numFmtId="0" fontId="24" fillId="3" borderId="49" xfId="34" applyFont="1" applyFill="1" applyBorder="1" applyAlignment="1" applyProtection="1">
      <alignment horizontal="center" vertical="center"/>
      <protection locked="0"/>
    </xf>
    <xf numFmtId="170" fontId="24" fillId="3" borderId="1" xfId="34" applyNumberFormat="1" applyFont="1" applyFill="1" applyBorder="1" applyAlignment="1" applyProtection="1">
      <alignment horizontal="center"/>
      <protection locked="0"/>
    </xf>
    <xf numFmtId="170" fontId="24" fillId="3" borderId="12" xfId="34" applyNumberFormat="1" applyFont="1" applyFill="1" applyBorder="1" applyAlignment="1" applyProtection="1">
      <alignment horizontal="center"/>
      <protection locked="0"/>
    </xf>
    <xf numFmtId="0" fontId="24" fillId="3" borderId="12" xfId="34" applyFont="1" applyFill="1" applyBorder="1" applyAlignment="1" applyProtection="1">
      <alignment horizontal="center" vertical="center"/>
      <protection locked="0"/>
    </xf>
    <xf numFmtId="0" fontId="24" fillId="3" borderId="53" xfId="34" applyFont="1" applyFill="1" applyBorder="1" applyAlignment="1" applyProtection="1">
      <alignment horizontal="center" vertical="center"/>
      <protection locked="0"/>
    </xf>
    <xf numFmtId="0" fontId="2" fillId="3" borderId="0" xfId="34" applyFill="1"/>
    <xf numFmtId="170" fontId="24" fillId="3" borderId="48" xfId="34" applyNumberFormat="1" applyFont="1" applyFill="1" applyBorder="1" applyAlignment="1" applyProtection="1">
      <alignment horizontal="center" vertical="center"/>
      <protection locked="0"/>
    </xf>
    <xf numFmtId="170" fontId="24" fillId="3" borderId="51" xfId="34" applyNumberFormat="1" applyFont="1" applyFill="1" applyBorder="1" applyAlignment="1" applyProtection="1">
      <alignment horizontal="center" vertical="center"/>
      <protection locked="0"/>
    </xf>
    <xf numFmtId="0" fontId="24" fillId="3" borderId="51" xfId="34" applyFont="1" applyFill="1" applyBorder="1" applyAlignment="1" applyProtection="1">
      <alignment horizontal="center" vertical="center"/>
      <protection locked="0"/>
    </xf>
    <xf numFmtId="0" fontId="24" fillId="3" borderId="52" xfId="34" applyFont="1" applyFill="1" applyBorder="1" applyAlignment="1" applyProtection="1">
      <alignment horizontal="center" vertical="center"/>
      <protection locked="0"/>
    </xf>
    <xf numFmtId="170" fontId="24" fillId="3" borderId="51" xfId="34" applyNumberFormat="1" applyFont="1" applyFill="1" applyBorder="1" applyAlignment="1" applyProtection="1">
      <alignment horizontal="center"/>
      <protection locked="0"/>
    </xf>
    <xf numFmtId="0" fontId="24" fillId="3" borderId="48" xfId="34" applyFont="1" applyFill="1" applyBorder="1" applyAlignment="1" applyProtection="1">
      <alignment horizontal="center" vertical="center" readingOrder="1"/>
      <protection locked="0"/>
    </xf>
    <xf numFmtId="0" fontId="24" fillId="3" borderId="49" xfId="34" applyFont="1" applyFill="1" applyBorder="1" applyAlignment="1" applyProtection="1">
      <alignment horizontal="center" vertical="center" readingOrder="1"/>
      <protection locked="0"/>
    </xf>
    <xf numFmtId="0" fontId="24" fillId="3" borderId="1" xfId="34" applyFont="1" applyFill="1" applyBorder="1" applyAlignment="1" applyProtection="1">
      <alignment horizontal="center" vertical="center" readingOrder="1"/>
      <protection locked="0"/>
    </xf>
    <xf numFmtId="0" fontId="24" fillId="3" borderId="50" xfId="34" applyFont="1" applyFill="1" applyBorder="1" applyAlignment="1" applyProtection="1">
      <alignment horizontal="center" vertical="center" readingOrder="1"/>
      <protection locked="0"/>
    </xf>
    <xf numFmtId="0" fontId="24" fillId="3" borderId="51" xfId="34" applyFont="1" applyFill="1" applyBorder="1" applyAlignment="1" applyProtection="1">
      <alignment horizontal="center" vertical="center" readingOrder="1"/>
      <protection locked="0"/>
    </xf>
    <xf numFmtId="0" fontId="24" fillId="3" borderId="52" xfId="34" applyFont="1" applyFill="1" applyBorder="1" applyAlignment="1" applyProtection="1">
      <alignment horizontal="center" vertical="center" readingOrder="1"/>
      <protection locked="0"/>
    </xf>
    <xf numFmtId="0" fontId="24" fillId="3" borderId="51" xfId="34" applyFont="1" applyFill="1" applyBorder="1" applyAlignment="1" applyProtection="1">
      <alignment horizontal="center"/>
      <protection locked="0"/>
    </xf>
    <xf numFmtId="0" fontId="2" fillId="0" borderId="0" xfId="34" applyAlignment="1">
      <alignment horizontal="center" vertical="center"/>
    </xf>
    <xf numFmtId="0" fontId="48" fillId="0" borderId="0" xfId="28" applyFont="1" applyBorder="1" applyAlignment="1">
      <alignment horizontal="center"/>
    </xf>
    <xf numFmtId="0" fontId="31" fillId="0" borderId="1" xfId="26" applyFont="1" applyBorder="1" applyAlignment="1">
      <alignment horizontal="center" wrapText="1"/>
    </xf>
    <xf numFmtId="0" fontId="44" fillId="3" borderId="23" xfId="28" applyFont="1" applyFill="1" applyBorder="1" applyAlignment="1">
      <alignment horizontal="center" vertical="center" wrapText="1"/>
    </xf>
    <xf numFmtId="0" fontId="2" fillId="0" borderId="1" xfId="29" applyFont="1" applyBorder="1" applyAlignment="1">
      <alignment horizontal="center"/>
    </xf>
    <xf numFmtId="0" fontId="29" fillId="0" borderId="1" xfId="29" applyFont="1" applyBorder="1" applyAlignment="1">
      <alignment horizontal="center"/>
    </xf>
    <xf numFmtId="0" fontId="14" fillId="0" borderId="3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42" fillId="0" borderId="0" xfId="28" applyFont="1" applyAlignment="1">
      <alignment horizontal="left"/>
    </xf>
    <xf numFmtId="0" fontId="50" fillId="0" borderId="13" xfId="29" applyFont="1" applyBorder="1" applyAlignment="1">
      <alignment horizontal="center"/>
    </xf>
    <xf numFmtId="0" fontId="50" fillId="0" borderId="15" xfId="29" applyFont="1" applyBorder="1" applyAlignment="1">
      <alignment horizontal="center"/>
    </xf>
    <xf numFmtId="0" fontId="17" fillId="0" borderId="11" xfId="0" applyFont="1" applyBorder="1" applyAlignment="1">
      <alignment horizontal="center" vertical="top" wrapText="1"/>
    </xf>
    <xf numFmtId="3" fontId="26" fillId="0" borderId="1" xfId="0" applyNumberFormat="1" applyFont="1" applyBorder="1" applyAlignment="1">
      <alignment horizontal="center"/>
    </xf>
    <xf numFmtId="3" fontId="27" fillId="2" borderId="1" xfId="0" applyNumberFormat="1" applyFont="1" applyFill="1" applyBorder="1" applyAlignment="1">
      <alignment horizontal="center"/>
    </xf>
    <xf numFmtId="3" fontId="27" fillId="0" borderId="17" xfId="0" applyNumberFormat="1" applyFont="1" applyFill="1" applyBorder="1" applyAlignment="1">
      <alignment horizontal="center"/>
    </xf>
    <xf numFmtId="165" fontId="27" fillId="0" borderId="1" xfId="1" applyNumberFormat="1" applyFont="1" applyBorder="1" applyAlignment="1">
      <alignment horizontal="center"/>
    </xf>
    <xf numFmtId="3" fontId="27" fillId="0" borderId="1" xfId="0" applyNumberFormat="1" applyFont="1" applyFill="1" applyBorder="1" applyAlignment="1">
      <alignment horizontal="center"/>
    </xf>
    <xf numFmtId="165" fontId="27" fillId="0" borderId="1" xfId="1" applyNumberFormat="1" applyFont="1" applyBorder="1" applyAlignment="1">
      <alignment horizontal="center" vertical="center"/>
    </xf>
    <xf numFmtId="0" fontId="1" fillId="0" borderId="0" xfId="21" applyFont="1"/>
    <xf numFmtId="3" fontId="32" fillId="0" borderId="1" xfId="22" applyNumberFormat="1" applyFont="1" applyBorder="1" applyAlignment="1">
      <alignment horizontal="center" vertical="center"/>
    </xf>
    <xf numFmtId="0" fontId="47" fillId="3" borderId="19" xfId="28" applyFont="1" applyFill="1" applyBorder="1" applyAlignment="1" applyProtection="1">
      <alignment horizontal="center" vertical="center"/>
      <protection locked="0"/>
    </xf>
    <xf numFmtId="0" fontId="47" fillId="3" borderId="23" xfId="28" applyFont="1" applyFill="1" applyBorder="1" applyAlignment="1" applyProtection="1">
      <alignment horizontal="center" vertical="center"/>
      <protection locked="0"/>
    </xf>
    <xf numFmtId="0" fontId="1" fillId="0" borderId="0" xfId="34" applyFont="1"/>
    <xf numFmtId="0" fontId="0" fillId="0" borderId="12" xfId="29" applyFont="1" applyBorder="1" applyAlignment="1">
      <alignment horizontal="center" vertical="center"/>
    </xf>
    <xf numFmtId="0" fontId="50" fillId="0" borderId="13" xfId="29" applyFont="1" applyBorder="1" applyAlignment="1">
      <alignment horizontal="center" vertical="center"/>
    </xf>
    <xf numFmtId="0" fontId="50" fillId="0" borderId="15" xfId="29" applyFont="1" applyBorder="1" applyAlignment="1">
      <alignment horizontal="center" vertical="center"/>
    </xf>
    <xf numFmtId="0" fontId="50" fillId="0" borderId="1" xfId="29" applyFont="1" applyBorder="1" applyAlignment="1">
      <alignment horizontal="center" vertical="center"/>
    </xf>
    <xf numFmtId="0" fontId="0" fillId="0" borderId="1" xfId="29" applyFont="1" applyBorder="1" applyAlignment="1">
      <alignment horizontal="center" vertical="center"/>
    </xf>
    <xf numFmtId="0" fontId="29" fillId="0" borderId="1" xfId="29" applyFont="1" applyBorder="1" applyAlignment="1">
      <alignment horizontal="center" vertical="center"/>
    </xf>
    <xf numFmtId="0" fontId="29" fillId="0" borderId="16" xfId="29" applyFont="1" applyBorder="1" applyAlignment="1">
      <alignment horizontal="center" vertical="center"/>
    </xf>
    <xf numFmtId="0" fontId="1" fillId="0" borderId="1" xfId="29" applyFont="1" applyBorder="1" applyAlignment="1">
      <alignment horizontal="center" vertical="center"/>
    </xf>
    <xf numFmtId="0" fontId="50" fillId="0" borderId="1" xfId="29" applyFont="1" applyBorder="1"/>
    <xf numFmtId="0" fontId="22" fillId="0" borderId="5" xfId="0" applyFont="1" applyBorder="1" applyAlignment="1">
      <alignment horizontal="justify"/>
    </xf>
    <xf numFmtId="0" fontId="14" fillId="0" borderId="5" xfId="0" applyFont="1" applyBorder="1" applyAlignment="1">
      <alignment horizontal="justify"/>
    </xf>
    <xf numFmtId="0" fontId="14" fillId="0" borderId="0" xfId="0" applyFont="1" applyAlignment="1">
      <alignment horizontal="justify"/>
    </xf>
    <xf numFmtId="0" fontId="14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36" fillId="0" borderId="6" xfId="0" applyFont="1" applyBorder="1" applyAlignment="1">
      <alignment horizontal="justify"/>
    </xf>
    <xf numFmtId="0" fontId="14" fillId="0" borderId="7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36" fillId="0" borderId="0" xfId="0" applyFont="1" applyBorder="1" applyAlignment="1">
      <alignment horizontal="justify"/>
    </xf>
    <xf numFmtId="0" fontId="14" fillId="0" borderId="0" xfId="0" applyFont="1" applyBorder="1" applyAlignment="1">
      <alignment horizontal="justify"/>
    </xf>
    <xf numFmtId="0" fontId="0" fillId="0" borderId="0" xfId="0" applyAlignment="1"/>
    <xf numFmtId="0" fontId="14" fillId="0" borderId="30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 wrapText="1"/>
    </xf>
    <xf numFmtId="0" fontId="0" fillId="0" borderId="27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22" fillId="0" borderId="0" xfId="0" applyFont="1" applyBorder="1" applyAlignment="1">
      <alignment horizontal="justify"/>
    </xf>
    <xf numFmtId="0" fontId="14" fillId="0" borderId="10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8" fillId="0" borderId="0" xfId="0" applyFont="1" applyAlignment="1"/>
    <xf numFmtId="0" fontId="32" fillId="0" borderId="0" xfId="0" applyFont="1" applyAlignment="1"/>
    <xf numFmtId="3" fontId="27" fillId="0" borderId="12" xfId="0" applyNumberFormat="1" applyFont="1" applyBorder="1" applyAlignment="1">
      <alignment horizontal="center" vertical="center" wrapText="1"/>
    </xf>
    <xf numFmtId="3" fontId="27" fillId="0" borderId="16" xfId="0" applyNumberFormat="1" applyFont="1" applyBorder="1" applyAlignment="1">
      <alignment horizontal="center" vertical="center" wrapText="1"/>
    </xf>
    <xf numFmtId="3" fontId="27" fillId="0" borderId="12" xfId="0" applyNumberFormat="1" applyFont="1" applyBorder="1" applyAlignment="1">
      <alignment horizontal="center" vertical="center"/>
    </xf>
    <xf numFmtId="3" fontId="27" fillId="0" borderId="16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justify"/>
    </xf>
    <xf numFmtId="3" fontId="26" fillId="0" borderId="13" xfId="0" applyNumberFormat="1" applyFont="1" applyBorder="1" applyAlignment="1">
      <alignment horizontal="center"/>
    </xf>
    <xf numFmtId="3" fontId="26" fillId="0" borderId="14" xfId="0" applyNumberFormat="1" applyFont="1" applyBorder="1" applyAlignment="1">
      <alignment horizontal="center"/>
    </xf>
    <xf numFmtId="3" fontId="26" fillId="0" borderId="15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3" fontId="44" fillId="0" borderId="13" xfId="0" applyNumberFormat="1" applyFont="1" applyBorder="1" applyAlignment="1">
      <alignment horizontal="left" vertical="center" wrapText="1"/>
    </xf>
    <xf numFmtId="3" fontId="44" fillId="0" borderId="14" xfId="0" applyNumberFormat="1" applyFont="1" applyBorder="1" applyAlignment="1">
      <alignment horizontal="left" vertical="center" wrapText="1"/>
    </xf>
    <xf numFmtId="3" fontId="44" fillId="0" borderId="13" xfId="0" applyNumberFormat="1" applyFont="1" applyBorder="1" applyAlignment="1">
      <alignment horizontal="center"/>
    </xf>
    <xf numFmtId="3" fontId="44" fillId="0" borderId="14" xfId="0" applyNumberFormat="1" applyFont="1" applyBorder="1" applyAlignment="1">
      <alignment horizontal="center"/>
    </xf>
    <xf numFmtId="3" fontId="44" fillId="0" borderId="15" xfId="0" applyNumberFormat="1" applyFont="1" applyBorder="1" applyAlignment="1">
      <alignment horizontal="center"/>
    </xf>
    <xf numFmtId="3" fontId="46" fillId="0" borderId="18" xfId="0" applyNumberFormat="1" applyFont="1" applyBorder="1" applyAlignment="1">
      <alignment horizontal="center" vertical="center"/>
    </xf>
    <xf numFmtId="3" fontId="46" fillId="0" borderId="19" xfId="0" applyNumberFormat="1" applyFont="1" applyBorder="1" applyAlignment="1">
      <alignment horizontal="center" vertical="center"/>
    </xf>
    <xf numFmtId="3" fontId="46" fillId="0" borderId="20" xfId="0" applyNumberFormat="1" applyFont="1" applyBorder="1" applyAlignment="1">
      <alignment horizontal="center" vertical="center"/>
    </xf>
    <xf numFmtId="3" fontId="46" fillId="0" borderId="21" xfId="0" applyNumberFormat="1" applyFont="1" applyBorder="1" applyAlignment="1">
      <alignment horizontal="center" vertical="center"/>
    </xf>
    <xf numFmtId="3" fontId="46" fillId="0" borderId="22" xfId="0" applyNumberFormat="1" applyFont="1" applyBorder="1" applyAlignment="1">
      <alignment horizontal="center" vertical="center"/>
    </xf>
    <xf numFmtId="3" fontId="46" fillId="0" borderId="23" xfId="0" applyNumberFormat="1" applyFont="1" applyBorder="1" applyAlignment="1">
      <alignment horizontal="center" vertical="center"/>
    </xf>
    <xf numFmtId="49" fontId="31" fillId="3" borderId="12" xfId="0" applyNumberFormat="1" applyFont="1" applyFill="1" applyBorder="1" applyAlignment="1">
      <alignment horizontal="center" vertical="center"/>
    </xf>
    <xf numFmtId="49" fontId="31" fillId="3" borderId="17" xfId="0" applyNumberFormat="1" applyFont="1" applyFill="1" applyBorder="1" applyAlignment="1">
      <alignment horizontal="center" vertical="center"/>
    </xf>
    <xf numFmtId="49" fontId="31" fillId="3" borderId="16" xfId="0" applyNumberFormat="1" applyFont="1" applyFill="1" applyBorder="1" applyAlignment="1">
      <alignment horizontal="center" vertical="center"/>
    </xf>
    <xf numFmtId="0" fontId="50" fillId="0" borderId="45" xfId="21" applyFont="1" applyBorder="1" applyAlignment="1">
      <alignment horizontal="left"/>
    </xf>
    <xf numFmtId="0" fontId="32" fillId="0" borderId="12" xfId="21" applyFont="1" applyBorder="1" applyAlignment="1">
      <alignment horizontal="center"/>
    </xf>
    <xf numFmtId="0" fontId="32" fillId="0" borderId="16" xfId="21" applyFont="1" applyBorder="1" applyAlignment="1">
      <alignment horizontal="center"/>
    </xf>
    <xf numFmtId="0" fontId="32" fillId="0" borderId="13" xfId="21" applyFont="1" applyBorder="1" applyAlignment="1">
      <alignment horizontal="center"/>
    </xf>
    <xf numFmtId="0" fontId="32" fillId="0" borderId="15" xfId="21" applyFont="1" applyBorder="1" applyAlignment="1">
      <alignment horizontal="center"/>
    </xf>
    <xf numFmtId="0" fontId="31" fillId="0" borderId="14" xfId="22" applyFont="1" applyBorder="1" applyAlignment="1">
      <alignment horizontal="left" vertical="center"/>
    </xf>
    <xf numFmtId="0" fontId="32" fillId="0" borderId="13" xfId="22" applyFont="1" applyBorder="1" applyAlignment="1">
      <alignment horizontal="center"/>
    </xf>
    <xf numFmtId="0" fontId="32" fillId="0" borderId="14" xfId="22" applyFont="1" applyBorder="1" applyAlignment="1">
      <alignment horizontal="center"/>
    </xf>
    <xf numFmtId="0" fontId="32" fillId="0" borderId="15" xfId="22" applyFont="1" applyBorder="1" applyAlignment="1">
      <alignment horizontal="center"/>
    </xf>
    <xf numFmtId="0" fontId="32" fillId="0" borderId="1" xfId="22" applyFont="1" applyBorder="1" applyAlignment="1">
      <alignment horizontal="center"/>
    </xf>
    <xf numFmtId="0" fontId="31" fillId="0" borderId="12" xfId="22" applyFont="1" applyBorder="1" applyAlignment="1">
      <alignment horizontal="center"/>
    </xf>
    <xf numFmtId="0" fontId="31" fillId="0" borderId="16" xfId="22" applyFont="1" applyBorder="1" applyAlignment="1">
      <alignment horizontal="center"/>
    </xf>
    <xf numFmtId="0" fontId="31" fillId="0" borderId="13" xfId="22" applyFont="1" applyBorder="1" applyAlignment="1">
      <alignment horizontal="center"/>
    </xf>
    <xf numFmtId="0" fontId="31" fillId="0" borderId="15" xfId="22" applyFont="1" applyBorder="1" applyAlignment="1">
      <alignment horizontal="center"/>
    </xf>
    <xf numFmtId="0" fontId="31" fillId="0" borderId="45" xfId="22" applyFont="1" applyBorder="1" applyAlignment="1">
      <alignment horizontal="left"/>
    </xf>
    <xf numFmtId="0" fontId="31" fillId="0" borderId="1" xfId="22" applyFont="1" applyBorder="1" applyAlignment="1">
      <alignment horizontal="center" vertical="center"/>
    </xf>
    <xf numFmtId="0" fontId="50" fillId="0" borderId="13" xfId="28" applyFont="1" applyBorder="1" applyAlignment="1">
      <alignment horizontal="center" vertical="center"/>
    </xf>
    <xf numFmtId="0" fontId="50" fillId="0" borderId="15" xfId="28" applyFont="1" applyBorder="1" applyAlignment="1">
      <alignment horizontal="center" vertical="center"/>
    </xf>
    <xf numFmtId="0" fontId="50" fillId="0" borderId="45" xfId="28" applyFont="1" applyBorder="1" applyAlignment="1">
      <alignment horizontal="left"/>
    </xf>
    <xf numFmtId="0" fontId="50" fillId="0" borderId="1" xfId="28" applyFont="1" applyBorder="1" applyAlignment="1">
      <alignment horizontal="center"/>
    </xf>
    <xf numFmtId="0" fontId="50" fillId="0" borderId="1" xfId="28" applyFont="1" applyBorder="1" applyAlignment="1">
      <alignment horizontal="center" vertical="center"/>
    </xf>
    <xf numFmtId="0" fontId="50" fillId="0" borderId="12" xfId="28" applyFont="1" applyBorder="1" applyAlignment="1">
      <alignment horizontal="center" vertical="center" wrapText="1"/>
    </xf>
    <xf numFmtId="0" fontId="50" fillId="0" borderId="16" xfId="28" applyFont="1" applyBorder="1" applyAlignment="1">
      <alignment horizontal="center" vertical="center" wrapText="1"/>
    </xf>
    <xf numFmtId="0" fontId="50" fillId="0" borderId="12" xfId="28" applyFont="1" applyBorder="1" applyAlignment="1">
      <alignment horizontal="center" vertical="center"/>
    </xf>
    <xf numFmtId="0" fontId="50" fillId="0" borderId="16" xfId="28" applyFont="1" applyBorder="1" applyAlignment="1">
      <alignment horizontal="center" vertical="center"/>
    </xf>
    <xf numFmtId="0" fontId="44" fillId="0" borderId="40" xfId="26" applyFont="1" applyBorder="1" applyAlignment="1">
      <alignment horizontal="center"/>
    </xf>
    <xf numFmtId="0" fontId="44" fillId="0" borderId="43" xfId="26" applyFont="1" applyBorder="1" applyAlignment="1">
      <alignment horizontal="center"/>
    </xf>
    <xf numFmtId="0" fontId="44" fillId="0" borderId="41" xfId="26" applyFont="1" applyBorder="1" applyAlignment="1">
      <alignment horizontal="center" vertical="center" wrapText="1"/>
    </xf>
    <xf numFmtId="0" fontId="44" fillId="0" borderId="42" xfId="26" applyFont="1" applyBorder="1" applyAlignment="1">
      <alignment horizontal="center" vertical="center" wrapText="1"/>
    </xf>
    <xf numFmtId="0" fontId="44" fillId="0" borderId="39" xfId="26" applyFont="1" applyBorder="1" applyAlignment="1">
      <alignment horizontal="center" vertical="center"/>
    </xf>
    <xf numFmtId="0" fontId="44" fillId="0" borderId="38" xfId="26" applyFont="1" applyBorder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3" fillId="0" borderId="41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3" fillId="0" borderId="39" xfId="0" applyFont="1" applyBorder="1" applyAlignment="1">
      <alignment horizontal="center" vertical="center"/>
    </xf>
    <xf numFmtId="0" fontId="55" fillId="0" borderId="38" xfId="10" applyFont="1" applyBorder="1" applyAlignment="1">
      <alignment horizontal="left" vertical="top"/>
    </xf>
    <xf numFmtId="0" fontId="50" fillId="0" borderId="12" xfId="19" applyFont="1" applyBorder="1" applyAlignment="1">
      <alignment horizontal="center"/>
    </xf>
    <xf numFmtId="0" fontId="50" fillId="0" borderId="16" xfId="19" applyFont="1" applyBorder="1" applyAlignment="1">
      <alignment horizontal="center"/>
    </xf>
    <xf numFmtId="0" fontId="50" fillId="0" borderId="13" xfId="19" applyFont="1" applyBorder="1" applyAlignment="1">
      <alignment horizontal="center"/>
    </xf>
    <xf numFmtId="0" fontId="50" fillId="0" borderId="14" xfId="19" applyFont="1" applyBorder="1" applyAlignment="1">
      <alignment horizontal="center"/>
    </xf>
    <xf numFmtId="0" fontId="50" fillId="0" borderId="15" xfId="19" applyFont="1" applyBorder="1" applyAlignment="1">
      <alignment horizontal="center"/>
    </xf>
    <xf numFmtId="0" fontId="50" fillId="0" borderId="0" xfId="0" applyFont="1" applyAlignment="1">
      <alignment horizontal="left"/>
    </xf>
    <xf numFmtId="0" fontId="57" fillId="0" borderId="12" xfId="0" applyFont="1" applyBorder="1" applyAlignment="1">
      <alignment horizontal="center"/>
    </xf>
    <xf numFmtId="0" fontId="57" fillId="0" borderId="16" xfId="0" applyFont="1" applyBorder="1" applyAlignment="1">
      <alignment horizontal="center"/>
    </xf>
    <xf numFmtId="0" fontId="57" fillId="0" borderId="13" xfId="0" applyFont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44" fillId="0" borderId="0" xfId="26" applyFont="1" applyBorder="1" applyAlignment="1">
      <alignment horizontal="left" wrapText="1"/>
    </xf>
    <xf numFmtId="0" fontId="31" fillId="0" borderId="12" xfId="26" applyFont="1" applyBorder="1" applyAlignment="1">
      <alignment horizontal="center" vertical="center" wrapText="1"/>
    </xf>
    <xf numFmtId="0" fontId="31" fillId="0" borderId="16" xfId="26" applyFont="1" applyBorder="1" applyAlignment="1">
      <alignment horizontal="center" vertical="center" wrapText="1"/>
    </xf>
    <xf numFmtId="0" fontId="31" fillId="0" borderId="13" xfId="26" applyFont="1" applyBorder="1" applyAlignment="1">
      <alignment horizontal="center" vertical="center" wrapText="1"/>
    </xf>
    <xf numFmtId="0" fontId="31" fillId="0" borderId="14" xfId="26" applyFont="1" applyBorder="1" applyAlignment="1">
      <alignment horizontal="center" vertical="center" wrapText="1"/>
    </xf>
    <xf numFmtId="0" fontId="31" fillId="0" borderId="15" xfId="26" applyFont="1" applyBorder="1" applyAlignment="1">
      <alignment horizontal="center" vertical="center" wrapText="1"/>
    </xf>
    <xf numFmtId="0" fontId="32" fillId="0" borderId="0" xfId="26" applyFont="1" applyAlignment="1">
      <alignment horizontal="left"/>
    </xf>
    <xf numFmtId="0" fontId="49" fillId="0" borderId="12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 wrapText="1"/>
    </xf>
    <xf numFmtId="0" fontId="49" fillId="0" borderId="14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 wrapText="1"/>
    </xf>
    <xf numFmtId="0" fontId="32" fillId="0" borderId="12" xfId="26" applyFont="1" applyBorder="1" applyAlignment="1">
      <alignment horizontal="center" vertical="center" wrapText="1"/>
    </xf>
    <xf numFmtId="0" fontId="32" fillId="0" borderId="16" xfId="26" applyFont="1" applyBorder="1" applyAlignment="1">
      <alignment horizontal="center" vertical="center" wrapText="1"/>
    </xf>
    <xf numFmtId="0" fontId="32" fillId="0" borderId="13" xfId="26" applyFont="1" applyBorder="1" applyAlignment="1">
      <alignment horizontal="center" vertical="center" wrapText="1"/>
    </xf>
    <xf numFmtId="0" fontId="32" fillId="0" borderId="14" xfId="26" applyFont="1" applyBorder="1" applyAlignment="1">
      <alignment horizontal="center" vertical="center" wrapText="1"/>
    </xf>
    <xf numFmtId="0" fontId="32" fillId="0" borderId="15" xfId="26" applyFont="1" applyBorder="1" applyAlignment="1">
      <alignment horizontal="center" vertical="center" wrapText="1"/>
    </xf>
    <xf numFmtId="0" fontId="44" fillId="0" borderId="45" xfId="26" applyFont="1" applyBorder="1" applyAlignment="1">
      <alignment horizontal="left"/>
    </xf>
    <xf numFmtId="0" fontId="62" fillId="0" borderId="18" xfId="28" applyFont="1" applyBorder="1" applyAlignment="1">
      <alignment horizontal="left"/>
    </xf>
    <xf numFmtId="0" fontId="62" fillId="0" borderId="44" xfId="28" applyFont="1" applyBorder="1" applyAlignment="1">
      <alignment horizontal="left"/>
    </xf>
    <xf numFmtId="0" fontId="62" fillId="0" borderId="19" xfId="28" applyFont="1" applyBorder="1" applyAlignment="1">
      <alignment horizontal="left"/>
    </xf>
    <xf numFmtId="0" fontId="47" fillId="0" borderId="13" xfId="28" applyFont="1" applyBorder="1" applyAlignment="1">
      <alignment horizontal="left"/>
    </xf>
    <xf numFmtId="0" fontId="47" fillId="0" borderId="14" xfId="28" applyFont="1" applyBorder="1" applyAlignment="1">
      <alignment horizontal="left"/>
    </xf>
    <xf numFmtId="0" fontId="47" fillId="0" borderId="15" xfId="28" applyFont="1" applyBorder="1" applyAlignment="1">
      <alignment horizontal="left"/>
    </xf>
    <xf numFmtId="0" fontId="42" fillId="0" borderId="0" xfId="28" applyFont="1" applyAlignment="1">
      <alignment horizontal="left"/>
    </xf>
    <xf numFmtId="168" fontId="44" fillId="0" borderId="45" xfId="34" applyNumberFormat="1" applyFont="1" applyBorder="1" applyAlignment="1" applyProtection="1">
      <alignment horizontal="left"/>
      <protection locked="0"/>
    </xf>
    <xf numFmtId="168" fontId="24" fillId="0" borderId="1" xfId="34" applyNumberFormat="1" applyFont="1" applyBorder="1" applyAlignment="1" applyProtection="1">
      <alignment horizontal="center" vertical="center" wrapText="1"/>
      <protection locked="0"/>
    </xf>
    <xf numFmtId="168" fontId="24" fillId="0" borderId="12" xfId="34" applyNumberFormat="1" applyFont="1" applyBorder="1" applyAlignment="1" applyProtection="1">
      <alignment horizontal="center" vertical="center" wrapText="1"/>
      <protection locked="0"/>
    </xf>
    <xf numFmtId="168" fontId="24" fillId="0" borderId="16" xfId="34" applyNumberFormat="1" applyFont="1" applyBorder="1" applyAlignment="1" applyProtection="1">
      <alignment horizontal="center" vertical="center" wrapText="1"/>
      <protection locked="0"/>
    </xf>
    <xf numFmtId="0" fontId="24" fillId="3" borderId="18" xfId="34" applyFont="1" applyFill="1" applyBorder="1" applyAlignment="1" applyProtection="1">
      <alignment horizontal="center" vertical="center"/>
      <protection locked="0"/>
    </xf>
    <xf numFmtId="0" fontId="24" fillId="3" borderId="20" xfId="34" applyFont="1" applyFill="1" applyBorder="1" applyAlignment="1" applyProtection="1">
      <alignment horizontal="center" vertical="center"/>
      <protection locked="0"/>
    </xf>
    <xf numFmtId="0" fontId="24" fillId="3" borderId="22" xfId="34" applyFont="1" applyFill="1" applyBorder="1" applyAlignment="1" applyProtection="1">
      <alignment horizontal="center" vertical="center"/>
      <protection locked="0"/>
    </xf>
    <xf numFmtId="0" fontId="24" fillId="3" borderId="1" xfId="34" applyFont="1" applyFill="1" applyBorder="1" applyAlignment="1" applyProtection="1">
      <alignment horizontal="center" vertical="center"/>
      <protection locked="0"/>
    </xf>
    <xf numFmtId="168" fontId="24" fillId="3" borderId="1" xfId="34" applyNumberFormat="1" applyFont="1" applyFill="1" applyBorder="1" applyAlignment="1" applyProtection="1">
      <alignment horizontal="center" vertical="center" wrapText="1"/>
      <protection locked="0"/>
    </xf>
    <xf numFmtId="0" fontId="50" fillId="0" borderId="1" xfId="34" applyFont="1" applyBorder="1" applyAlignment="1">
      <alignment horizontal="center" vertical="center"/>
    </xf>
    <xf numFmtId="168" fontId="24" fillId="3" borderId="55" xfId="34" applyNumberFormat="1" applyFont="1" applyFill="1" applyBorder="1" applyAlignment="1" applyProtection="1">
      <alignment horizontal="center" vertical="center" wrapText="1"/>
      <protection locked="0"/>
    </xf>
    <xf numFmtId="168" fontId="24" fillId="3" borderId="17" xfId="34" applyNumberFormat="1" applyFont="1" applyFill="1" applyBorder="1" applyAlignment="1" applyProtection="1">
      <alignment horizontal="center" vertical="center" wrapText="1"/>
      <protection locked="0"/>
    </xf>
    <xf numFmtId="168" fontId="24" fillId="3" borderId="56" xfId="34" applyNumberFormat="1" applyFont="1" applyFill="1" applyBorder="1" applyAlignment="1" applyProtection="1">
      <alignment horizontal="center" vertical="center" wrapText="1"/>
      <protection locked="0"/>
    </xf>
    <xf numFmtId="0" fontId="50" fillId="3" borderId="1" xfId="34" applyFont="1" applyFill="1" applyBorder="1" applyAlignment="1">
      <alignment horizontal="center" vertical="center"/>
    </xf>
    <xf numFmtId="168" fontId="24" fillId="3" borderId="46" xfId="34" applyNumberFormat="1" applyFont="1" applyFill="1" applyBorder="1" applyAlignment="1" applyProtection="1">
      <alignment horizontal="center" vertical="center" wrapText="1"/>
      <protection locked="0"/>
    </xf>
    <xf numFmtId="168" fontId="24" fillId="3" borderId="0" xfId="34" applyNumberFormat="1" applyFont="1" applyFill="1" applyBorder="1" applyAlignment="1" applyProtection="1">
      <alignment horizontal="center" vertical="center" wrapText="1"/>
      <protection locked="0"/>
    </xf>
    <xf numFmtId="168" fontId="24" fillId="3" borderId="47" xfId="34" applyNumberFormat="1" applyFont="1" applyFill="1" applyBorder="1" applyAlignment="1" applyProtection="1">
      <alignment horizontal="center" vertical="center" wrapText="1"/>
      <protection locked="0"/>
    </xf>
    <xf numFmtId="168" fontId="24" fillId="3" borderId="57" xfId="34" applyNumberFormat="1" applyFont="1" applyFill="1" applyBorder="1" applyAlignment="1" applyProtection="1">
      <alignment horizontal="center" vertical="center" wrapText="1"/>
      <protection locked="0"/>
    </xf>
    <xf numFmtId="0" fontId="2" fillId="3" borderId="17" xfId="34" applyFill="1" applyBorder="1"/>
    <xf numFmtId="0" fontId="2" fillId="3" borderId="56" xfId="34" applyFill="1" applyBorder="1"/>
    <xf numFmtId="0" fontId="24" fillId="3" borderId="58" xfId="34" applyFont="1" applyFill="1" applyBorder="1" applyAlignment="1" applyProtection="1">
      <alignment horizontal="center" vertical="center" readingOrder="1"/>
      <protection locked="0"/>
    </xf>
    <xf numFmtId="0" fontId="24" fillId="3" borderId="36" xfId="34" applyFont="1" applyFill="1" applyBorder="1" applyAlignment="1" applyProtection="1">
      <alignment horizontal="center" vertical="center" readingOrder="1"/>
      <protection locked="0"/>
    </xf>
    <xf numFmtId="0" fontId="24" fillId="3" borderId="59" xfId="34" applyFont="1" applyFill="1" applyBorder="1" applyAlignment="1" applyProtection="1">
      <alignment horizontal="center" vertical="center" readingOrder="1"/>
      <protection locked="0"/>
    </xf>
    <xf numFmtId="168" fontId="66" fillId="3" borderId="55" xfId="34" applyNumberFormat="1" applyFont="1" applyFill="1" applyBorder="1" applyAlignment="1" applyProtection="1">
      <alignment horizontal="center" vertical="center" wrapText="1"/>
      <protection locked="0"/>
    </xf>
    <xf numFmtId="168" fontId="66" fillId="3" borderId="17" xfId="34" applyNumberFormat="1" applyFont="1" applyFill="1" applyBorder="1" applyAlignment="1" applyProtection="1">
      <alignment horizontal="center" vertical="center" wrapText="1"/>
      <protection locked="0"/>
    </xf>
    <xf numFmtId="168" fontId="66" fillId="3" borderId="56" xfId="34" applyNumberFormat="1" applyFont="1" applyFill="1" applyBorder="1" applyAlignment="1" applyProtection="1">
      <alignment horizontal="center" vertical="center" wrapText="1"/>
      <protection locked="0"/>
    </xf>
    <xf numFmtId="0" fontId="50" fillId="0" borderId="12" xfId="34" applyFont="1" applyBorder="1" applyAlignment="1">
      <alignment horizontal="center" vertical="center"/>
    </xf>
    <xf numFmtId="0" fontId="50" fillId="0" borderId="17" xfId="34" applyFont="1" applyBorder="1" applyAlignment="1">
      <alignment horizontal="center" vertical="center"/>
    </xf>
    <xf numFmtId="0" fontId="50" fillId="0" borderId="16" xfId="34" applyFont="1" applyBorder="1" applyAlignment="1">
      <alignment horizontal="center" vertical="center"/>
    </xf>
    <xf numFmtId="0" fontId="2" fillId="0" borderId="12" xfId="34" applyBorder="1" applyAlignment="1">
      <alignment horizontal="center" vertical="center"/>
    </xf>
    <xf numFmtId="0" fontId="2" fillId="0" borderId="17" xfId="34" applyBorder="1" applyAlignment="1">
      <alignment horizontal="center" vertical="center"/>
    </xf>
    <xf numFmtId="0" fontId="2" fillId="0" borderId="16" xfId="34" applyBorder="1" applyAlignment="1">
      <alignment horizontal="center" vertical="center"/>
    </xf>
    <xf numFmtId="0" fontId="4" fillId="0" borderId="12" xfId="19" applyFont="1" applyBorder="1" applyAlignment="1">
      <alignment horizontal="center" vertical="center" wrapText="1"/>
    </xf>
    <xf numFmtId="0" fontId="4" fillId="0" borderId="17" xfId="19" applyFont="1" applyBorder="1" applyAlignment="1">
      <alignment horizontal="center" vertical="center" wrapText="1"/>
    </xf>
    <xf numFmtId="0" fontId="4" fillId="0" borderId="16" xfId="19" applyFont="1" applyBorder="1" applyAlignment="1">
      <alignment horizontal="center" vertical="center" wrapText="1"/>
    </xf>
    <xf numFmtId="0" fontId="50" fillId="0" borderId="12" xfId="19" applyFont="1" applyBorder="1" applyAlignment="1">
      <alignment horizontal="center" vertical="center" wrapText="1"/>
    </xf>
    <xf numFmtId="0" fontId="50" fillId="0" borderId="17" xfId="19" applyFont="1" applyBorder="1" applyAlignment="1">
      <alignment horizontal="center" vertical="center" wrapText="1"/>
    </xf>
    <xf numFmtId="0" fontId="50" fillId="0" borderId="16" xfId="19" applyFont="1" applyBorder="1" applyAlignment="1">
      <alignment horizontal="center" vertical="center" wrapText="1"/>
    </xf>
    <xf numFmtId="0" fontId="60" fillId="0" borderId="12" xfId="28" applyFont="1" applyBorder="1" applyAlignment="1">
      <alignment horizontal="center" vertical="center" wrapText="1"/>
    </xf>
    <xf numFmtId="0" fontId="60" fillId="0" borderId="17" xfId="28" applyFont="1" applyBorder="1" applyAlignment="1">
      <alignment horizontal="center" vertical="center" wrapText="1"/>
    </xf>
    <xf numFmtId="0" fontId="60" fillId="0" borderId="16" xfId="28" applyFont="1" applyBorder="1" applyAlignment="1">
      <alignment horizontal="center" vertical="center" wrapText="1"/>
    </xf>
    <xf numFmtId="0" fontId="50" fillId="0" borderId="45" xfId="29" applyFont="1" applyBorder="1" applyAlignment="1">
      <alignment horizontal="left"/>
    </xf>
    <xf numFmtId="0" fontId="50" fillId="0" borderId="13" xfId="29" applyFont="1" applyBorder="1" applyAlignment="1">
      <alignment horizontal="center"/>
    </xf>
    <xf numFmtId="0" fontId="50" fillId="0" borderId="15" xfId="29" applyFont="1" applyBorder="1" applyAlignment="1">
      <alignment horizontal="center"/>
    </xf>
    <xf numFmtId="0" fontId="3" fillId="0" borderId="13" xfId="29" applyBorder="1" applyAlignment="1">
      <alignment horizontal="center"/>
    </xf>
    <xf numFmtId="0" fontId="3" fillId="0" borderId="15" xfId="29" applyBorder="1" applyAlignment="1">
      <alignment horizontal="center"/>
    </xf>
    <xf numFmtId="0" fontId="50" fillId="0" borderId="12" xfId="29" applyFont="1" applyBorder="1" applyAlignment="1">
      <alignment horizontal="center" vertical="center"/>
    </xf>
    <xf numFmtId="0" fontId="50" fillId="0" borderId="16" xfId="29" applyFont="1" applyBorder="1" applyAlignment="1">
      <alignment horizontal="center" vertical="center"/>
    </xf>
    <xf numFmtId="0" fontId="50" fillId="0" borderId="18" xfId="29" applyFont="1" applyBorder="1" applyAlignment="1">
      <alignment horizontal="center" vertical="center" wrapText="1"/>
    </xf>
    <xf numFmtId="0" fontId="50" fillId="0" borderId="19" xfId="29" applyFont="1" applyBorder="1" applyAlignment="1">
      <alignment horizontal="center" vertical="center" wrapText="1"/>
    </xf>
    <xf numFmtId="0" fontId="50" fillId="0" borderId="22" xfId="29" applyFont="1" applyBorder="1" applyAlignment="1">
      <alignment horizontal="center" vertical="center" wrapText="1"/>
    </xf>
    <xf numFmtId="0" fontId="50" fillId="0" borderId="23" xfId="29" applyFont="1" applyBorder="1" applyAlignment="1">
      <alignment horizontal="center" vertical="center" wrapText="1"/>
    </xf>
    <xf numFmtId="0" fontId="50" fillId="0" borderId="12" xfId="29" applyFont="1" applyBorder="1" applyAlignment="1">
      <alignment horizontal="center" vertical="center" wrapText="1"/>
    </xf>
    <xf numFmtId="0" fontId="50" fillId="0" borderId="16" xfId="29" applyFont="1" applyBorder="1" applyAlignment="1">
      <alignment horizontal="center" vertical="center" wrapText="1"/>
    </xf>
    <xf numFmtId="0" fontId="50" fillId="0" borderId="13" xfId="29" applyFont="1" applyBorder="1" applyAlignment="1">
      <alignment horizontal="center" vertical="center"/>
    </xf>
    <xf numFmtId="0" fontId="50" fillId="0" borderId="14" xfId="29" applyFont="1" applyBorder="1" applyAlignment="1">
      <alignment horizontal="center" vertical="center"/>
    </xf>
    <xf numFmtId="0" fontId="50" fillId="0" borderId="15" xfId="29" applyFont="1" applyBorder="1" applyAlignment="1">
      <alignment horizontal="center" vertical="center"/>
    </xf>
    <xf numFmtId="0" fontId="3" fillId="0" borderId="12" xfId="29" applyBorder="1" applyAlignment="1">
      <alignment horizontal="center" vertical="center"/>
    </xf>
    <xf numFmtId="0" fontId="3" fillId="0" borderId="16" xfId="29" applyBorder="1" applyAlignment="1">
      <alignment horizontal="center" vertical="center"/>
    </xf>
    <xf numFmtId="0" fontId="3" fillId="0" borderId="17" xfId="29" applyBorder="1" applyAlignment="1">
      <alignment horizontal="center" vertical="center"/>
    </xf>
    <xf numFmtId="0" fontId="50" fillId="0" borderId="17" xfId="29" applyFont="1" applyBorder="1" applyAlignment="1">
      <alignment horizontal="center" vertical="center"/>
    </xf>
    <xf numFmtId="0" fontId="0" fillId="0" borderId="12" xfId="29" applyFont="1" applyBorder="1" applyAlignment="1">
      <alignment horizontal="center" vertical="center"/>
    </xf>
    <xf numFmtId="0" fontId="0" fillId="0" borderId="17" xfId="29" applyFont="1" applyBorder="1" applyAlignment="1">
      <alignment horizontal="center" vertical="center"/>
    </xf>
    <xf numFmtId="0" fontId="0" fillId="0" borderId="16" xfId="29" applyFont="1" applyBorder="1" applyAlignment="1">
      <alignment horizontal="center" vertical="center"/>
    </xf>
    <xf numFmtId="0" fontId="0" fillId="0" borderId="1" xfId="29" applyFont="1" applyBorder="1" applyAlignment="1">
      <alignment horizontal="center" vertical="center"/>
    </xf>
    <xf numFmtId="0" fontId="50" fillId="0" borderId="44" xfId="29" applyFont="1" applyBorder="1" applyAlignment="1">
      <alignment horizontal="left"/>
    </xf>
    <xf numFmtId="0" fontId="50" fillId="0" borderId="14" xfId="29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5" xfId="0" applyFont="1" applyBorder="1" applyAlignment="1">
      <alignment horizontal="center"/>
    </xf>
  </cellXfs>
  <cellStyles count="35">
    <cellStyle name="Bad" xfId="24" builtinId="27"/>
    <cellStyle name="Comma" xfId="1" builtinId="3"/>
    <cellStyle name="Neutral" xfId="25" builtinId="28"/>
    <cellStyle name="Normal" xfId="0" builtinId="0"/>
    <cellStyle name="Normal 10" xfId="10"/>
    <cellStyle name="Normal 11" xfId="19"/>
    <cellStyle name="Normal 12" xfId="4"/>
    <cellStyle name="Normal 13" xfId="11"/>
    <cellStyle name="Normal 14" xfId="20"/>
    <cellStyle name="Normal 15" xfId="21"/>
    <cellStyle name="Normal 15 2" xfId="30"/>
    <cellStyle name="Normal 16" xfId="22"/>
    <cellStyle name="Normal 17" xfId="23"/>
    <cellStyle name="Normal 17 2" xfId="29"/>
    <cellStyle name="Normal 18" xfId="26"/>
    <cellStyle name="Normal 18 2" xfId="31"/>
    <cellStyle name="Normal 19" xfId="27"/>
    <cellStyle name="Normal 2" xfId="2"/>
    <cellStyle name="Normal 2 2" xfId="9"/>
    <cellStyle name="Normal 20" xfId="28"/>
    <cellStyle name="Normal 21" xfId="32"/>
    <cellStyle name="Normal 22" xfId="33"/>
    <cellStyle name="Normal 23" xfId="34"/>
    <cellStyle name="Normal 3" xfId="3"/>
    <cellStyle name="Normal 3 2" xfId="8"/>
    <cellStyle name="Normal 4" xfId="12"/>
    <cellStyle name="Normal 40" xfId="13"/>
    <cellStyle name="Normal 41" xfId="14"/>
    <cellStyle name="Normal 42" xfId="15"/>
    <cellStyle name="Normal 43" xfId="16"/>
    <cellStyle name="Normal 5" xfId="7"/>
    <cellStyle name="Normal 6" xfId="17"/>
    <cellStyle name="Normal 7" xfId="6"/>
    <cellStyle name="Normal 8" xfId="18"/>
    <cellStyle name="Normal 9" xfId="5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theme="0"/>
        </patternFill>
      </fill>
      <protection locked="0" hidden="0"/>
    </dxf>
    <dxf>
      <fill>
        <patternFill patternType="none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3" displayName="Table3" ref="A2:P21" totalsRowShown="0" headerRowDxfId="40" dataDxfId="38" headerRowBorderDxfId="39" tableBorderDxfId="37">
  <tableColumns count="16">
    <tableColumn id="1" name="Sl.No" dataDxfId="36"/>
    <tableColumn id="2" name="Code" dataDxfId="35"/>
    <tableColumn id="3" name="Major Group of Cause of Death" dataDxfId="34"/>
    <tableColumn id="4" name="Sex" dataDxfId="33"/>
    <tableColumn id="5" name="Below         1 year" dataDxfId="32"/>
    <tableColumn id="6" name="1-4              year" dataDxfId="31"/>
    <tableColumn id="7" name="  5-14 Year" dataDxfId="30"/>
    <tableColumn id="8" name="15-24         year" dataDxfId="29"/>
    <tableColumn id="9" name="25-34               year" dataDxfId="28"/>
    <tableColumn id="10" name="35-44        year" dataDxfId="27"/>
    <tableColumn id="11" name="45-54            year" dataDxfId="26"/>
    <tableColumn id="12" name="55-64            year" dataDxfId="25"/>
    <tableColumn id="13" name="65-69            year" dataDxfId="24"/>
    <tableColumn id="14" name="70 &amp; above year" dataDxfId="23"/>
    <tableColumn id="15" name="Not stated" dataDxfId="22"/>
    <tableColumn id="16" name="Total" dataDxfId="21">
      <calculatedColumnFormula>SUM(E3:O3)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2:P26" totalsRowShown="0" headerRowDxfId="20" dataDxfId="18" headerRowBorderDxfId="19" tableBorderDxfId="17" totalsRowBorderDxfId="16">
  <tableColumns count="16">
    <tableColumn id="1" name="Sl.No" dataDxfId="15"/>
    <tableColumn id="2" name="Code" dataDxfId="14"/>
    <tableColumn id="3" name="Major Group of Cause of Death" dataDxfId="13"/>
    <tableColumn id="4" name="Sex" dataDxfId="12"/>
    <tableColumn id="5" name="Below         1 year" dataDxfId="11"/>
    <tableColumn id="6" name="1-4              year" dataDxfId="10"/>
    <tableColumn id="7" name="  5-14 Year" dataDxfId="9"/>
    <tableColumn id="8" name="15-24         year" dataDxfId="8"/>
    <tableColumn id="9" name="25-34               year" dataDxfId="7"/>
    <tableColumn id="10" name="35-44        year" dataDxfId="6"/>
    <tableColumn id="11" name="45-54            year" dataDxfId="5"/>
    <tableColumn id="12" name="55-64            year" dataDxfId="4"/>
    <tableColumn id="13" name="65-69            year" dataDxfId="3"/>
    <tableColumn id="14" name="70 &amp; above year" dataDxfId="2"/>
    <tableColumn id="15" name="Not stated" dataDxfId="1"/>
    <tableColumn id="16" name="Total" dataDxfId="0">
      <calculatedColumnFormula>SUM(E3:O3)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Q17"/>
  <sheetViews>
    <sheetView workbookViewId="0">
      <selection activeCell="G16" sqref="G16"/>
    </sheetView>
  </sheetViews>
  <sheetFormatPr defaultColWidth="9" defaultRowHeight="15"/>
  <cols>
    <col min="1" max="1" width="4.42578125" customWidth="1"/>
    <col min="2" max="2" width="8.42578125" customWidth="1"/>
    <col min="3" max="17" width="10.7109375" customWidth="1"/>
  </cols>
  <sheetData>
    <row r="1" spans="1:17" ht="21.75" customHeight="1">
      <c r="A1" s="340" t="s">
        <v>263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</row>
    <row r="2" spans="1:17" ht="52.9" customHeight="1">
      <c r="A2" s="338" t="s">
        <v>0</v>
      </c>
      <c r="B2" s="338" t="s">
        <v>1</v>
      </c>
      <c r="C2" s="341" t="s">
        <v>2</v>
      </c>
      <c r="D2" s="342"/>
      <c r="E2" s="343"/>
      <c r="F2" s="338" t="s">
        <v>3</v>
      </c>
      <c r="G2" s="341" t="s">
        <v>4</v>
      </c>
      <c r="H2" s="342"/>
      <c r="I2" s="343"/>
      <c r="J2" s="338" t="s">
        <v>3</v>
      </c>
      <c r="K2" s="341" t="s">
        <v>5</v>
      </c>
      <c r="L2" s="342"/>
      <c r="M2" s="343"/>
      <c r="N2" s="338" t="s">
        <v>3</v>
      </c>
      <c r="O2" s="341" t="s">
        <v>6</v>
      </c>
      <c r="P2" s="342"/>
      <c r="Q2" s="343"/>
    </row>
    <row r="3" spans="1:17" ht="16.899999999999999" customHeight="1">
      <c r="A3" s="339"/>
      <c r="B3" s="339"/>
      <c r="C3" s="2" t="s">
        <v>7</v>
      </c>
      <c r="D3" s="2" t="s">
        <v>8</v>
      </c>
      <c r="E3" s="2" t="s">
        <v>9</v>
      </c>
      <c r="F3" s="339"/>
      <c r="G3" s="2" t="s">
        <v>7</v>
      </c>
      <c r="H3" s="2" t="s">
        <v>8</v>
      </c>
      <c r="I3" s="2" t="s">
        <v>9</v>
      </c>
      <c r="J3" s="339"/>
      <c r="K3" s="2" t="s">
        <v>7</v>
      </c>
      <c r="L3" s="2" t="s">
        <v>8</v>
      </c>
      <c r="M3" s="2" t="s">
        <v>9</v>
      </c>
      <c r="N3" s="339"/>
      <c r="O3" s="2" t="s">
        <v>7</v>
      </c>
      <c r="P3" s="2" t="s">
        <v>8</v>
      </c>
      <c r="Q3" s="2" t="s">
        <v>9</v>
      </c>
    </row>
    <row r="4" spans="1:17">
      <c r="A4" s="5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  <c r="M4" s="6">
        <v>13</v>
      </c>
      <c r="N4" s="6">
        <v>14</v>
      </c>
      <c r="O4" s="6">
        <v>15</v>
      </c>
      <c r="P4" s="6">
        <v>16</v>
      </c>
      <c r="Q4" s="6">
        <v>17</v>
      </c>
    </row>
    <row r="5" spans="1:17" ht="15.75" customHeight="1">
      <c r="A5" s="4">
        <v>1</v>
      </c>
      <c r="B5" s="2">
        <v>1971</v>
      </c>
      <c r="C5" s="2">
        <v>223884</v>
      </c>
      <c r="D5" s="2">
        <v>241171</v>
      </c>
      <c r="E5" s="2">
        <f>C5+D5</f>
        <v>465055</v>
      </c>
      <c r="F5" s="2">
        <v>928</v>
      </c>
      <c r="G5" s="2">
        <v>16481</v>
      </c>
      <c r="H5" s="2">
        <v>34913</v>
      </c>
      <c r="I5" s="2">
        <f>G5+H5</f>
        <v>51394</v>
      </c>
      <c r="J5" s="2">
        <v>472</v>
      </c>
      <c r="K5" s="2">
        <v>240365</v>
      </c>
      <c r="L5" s="2">
        <v>276084</v>
      </c>
      <c r="M5" s="2">
        <f>K5+L5</f>
        <v>516449</v>
      </c>
      <c r="N5" s="2">
        <v>871</v>
      </c>
      <c r="O5" s="2">
        <v>34.909999999999997</v>
      </c>
      <c r="P5" s="2">
        <v>44.53</v>
      </c>
      <c r="Q5" s="2">
        <v>39.880000000000003</v>
      </c>
    </row>
    <row r="6" spans="1:17" ht="15.75" customHeight="1">
      <c r="A6" s="4">
        <v>2</v>
      </c>
      <c r="B6" s="2">
        <v>1981</v>
      </c>
      <c r="C6" s="2">
        <v>309997</v>
      </c>
      <c r="D6" s="2">
        <v>344699</v>
      </c>
      <c r="E6" s="2">
        <f t="shared" ref="E6" si="0">C6+D6</f>
        <v>654696</v>
      </c>
      <c r="F6" s="2">
        <v>899</v>
      </c>
      <c r="G6" s="2">
        <v>49023</v>
      </c>
      <c r="H6" s="2">
        <v>71211</v>
      </c>
      <c r="I6" s="2">
        <f t="shared" ref="I6" si="1">G6+H6</f>
        <v>120234</v>
      </c>
      <c r="J6" s="2">
        <v>688</v>
      </c>
      <c r="K6" s="2">
        <v>359020</v>
      </c>
      <c r="L6" s="2">
        <v>415910</v>
      </c>
      <c r="M6" s="2">
        <f t="shared" ref="M6" si="2">K6+L6</f>
        <v>774930</v>
      </c>
      <c r="N6" s="2">
        <v>863</v>
      </c>
      <c r="O6" s="2">
        <v>49.36</v>
      </c>
      <c r="P6" s="2">
        <v>50.65</v>
      </c>
      <c r="Q6" s="2">
        <v>50.05</v>
      </c>
    </row>
    <row r="7" spans="1:17" ht="15.75">
      <c r="A7" s="4">
        <v>3</v>
      </c>
      <c r="B7" s="2">
        <v>1991</v>
      </c>
      <c r="C7" s="2">
        <v>479088</v>
      </c>
      <c r="D7" s="2">
        <v>522235</v>
      </c>
      <c r="E7" s="2">
        <f>C7+D7</f>
        <v>1001323</v>
      </c>
      <c r="F7" s="2">
        <v>917</v>
      </c>
      <c r="G7" s="2">
        <v>89176</v>
      </c>
      <c r="H7" s="2">
        <v>119047</v>
      </c>
      <c r="I7" s="2">
        <f>G7+H7</f>
        <v>208223</v>
      </c>
      <c r="J7" s="2">
        <v>749</v>
      </c>
      <c r="K7" s="2">
        <v>568264</v>
      </c>
      <c r="L7" s="2">
        <v>641282</v>
      </c>
      <c r="M7" s="2">
        <f>K7+L7</f>
        <v>1209546</v>
      </c>
      <c r="N7" s="2">
        <v>886</v>
      </c>
      <c r="O7" s="2">
        <v>58.28</v>
      </c>
      <c r="P7" s="2">
        <v>54.19</v>
      </c>
      <c r="Q7" s="2">
        <v>56.08</v>
      </c>
    </row>
    <row r="8" spans="1:17" ht="15.75">
      <c r="A8" s="4">
        <v>4</v>
      </c>
      <c r="B8" s="2">
        <v>2001</v>
      </c>
      <c r="C8" s="2">
        <v>787533</v>
      </c>
      <c r="D8" s="2">
        <v>859716</v>
      </c>
      <c r="E8" s="2">
        <f>C8+D8</f>
        <v>1647249</v>
      </c>
      <c r="F8" s="2">
        <v>916</v>
      </c>
      <c r="G8" s="2">
        <v>155362</v>
      </c>
      <c r="H8" s="2">
        <v>187425</v>
      </c>
      <c r="I8" s="2">
        <f>G8+H8</f>
        <v>342787</v>
      </c>
      <c r="J8" s="2">
        <v>829</v>
      </c>
      <c r="K8" s="2">
        <v>942895</v>
      </c>
      <c r="L8" s="2">
        <v>1047141</v>
      </c>
      <c r="M8" s="2">
        <f>K8+L8</f>
        <v>1990036</v>
      </c>
      <c r="N8" s="2">
        <v>900</v>
      </c>
      <c r="O8" s="2">
        <v>65.930000000000007</v>
      </c>
      <c r="P8" s="2">
        <v>63.29</v>
      </c>
      <c r="Q8" s="2">
        <v>64.53</v>
      </c>
    </row>
    <row r="9" spans="1:17" ht="15.75">
      <c r="A9" s="4">
        <v>5</v>
      </c>
      <c r="B9" s="2">
        <v>2011</v>
      </c>
      <c r="C9" s="2">
        <v>682064</v>
      </c>
      <c r="D9" s="2">
        <v>725472</v>
      </c>
      <c r="E9" s="2">
        <f>C9+D9</f>
        <v>1407536</v>
      </c>
      <c r="F9" s="2">
        <v>940</v>
      </c>
      <c r="G9" s="2">
        <v>271789</v>
      </c>
      <c r="H9" s="2">
        <v>299177</v>
      </c>
      <c r="I9" s="2">
        <f>G9+H9</f>
        <v>570966</v>
      </c>
      <c r="J9" s="2">
        <v>908</v>
      </c>
      <c r="K9" s="2">
        <v>953853</v>
      </c>
      <c r="L9" s="2">
        <v>1024649</v>
      </c>
      <c r="M9" s="2">
        <f>K9+L9</f>
        <v>1978502</v>
      </c>
      <c r="N9" s="2">
        <v>931</v>
      </c>
      <c r="O9" s="2">
        <v>1.1599999999999999</v>
      </c>
      <c r="P9" s="2" t="s">
        <v>10</v>
      </c>
      <c r="Q9" s="2" t="s">
        <v>11</v>
      </c>
    </row>
    <row r="10" spans="1:17" ht="23.45" customHeight="1">
      <c r="A10" s="18" t="s">
        <v>12</v>
      </c>
      <c r="B10" s="335" t="s">
        <v>13</v>
      </c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</row>
    <row r="11" spans="1:17" ht="21" customHeight="1">
      <c r="A11" s="337" t="s">
        <v>546</v>
      </c>
      <c r="B11" s="337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</row>
    <row r="12" spans="1:17">
      <c r="F12" s="101"/>
      <c r="G12" s="101"/>
      <c r="H12" s="101"/>
    </row>
    <row r="13" spans="1:17" ht="15.75">
      <c r="F13" s="102"/>
      <c r="G13" s="102"/>
      <c r="H13" s="102"/>
    </row>
    <row r="14" spans="1:17" ht="15.75">
      <c r="F14" s="102"/>
      <c r="G14" s="102"/>
      <c r="H14" s="102"/>
    </row>
    <row r="15" spans="1:17" ht="15.75">
      <c r="F15" s="102"/>
      <c r="G15" s="102"/>
      <c r="H15" s="102"/>
    </row>
    <row r="16" spans="1:17" ht="15.75">
      <c r="F16" s="102"/>
      <c r="G16" s="102"/>
      <c r="H16" s="102"/>
    </row>
    <row r="17" spans="6:8" ht="15.75">
      <c r="F17" s="102"/>
      <c r="G17" s="102"/>
      <c r="H17" s="102"/>
    </row>
  </sheetData>
  <mergeCells count="12">
    <mergeCell ref="A1:Q1"/>
    <mergeCell ref="C2:E2"/>
    <mergeCell ref="G2:I2"/>
    <mergeCell ref="K2:M2"/>
    <mergeCell ref="O2:Q2"/>
    <mergeCell ref="B10:O10"/>
    <mergeCell ref="A11:N11"/>
    <mergeCell ref="A2:A3"/>
    <mergeCell ref="B2:B3"/>
    <mergeCell ref="F2:F3"/>
    <mergeCell ref="J2:J3"/>
    <mergeCell ref="N2:N3"/>
  </mergeCells>
  <pageMargins left="0.25" right="0.26" top="0.75" bottom="0.75" header="0.3" footer="0.3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H29"/>
  <sheetViews>
    <sheetView workbookViewId="0">
      <selection activeCell="K13" sqref="K13"/>
    </sheetView>
  </sheetViews>
  <sheetFormatPr defaultColWidth="9" defaultRowHeight="15"/>
  <cols>
    <col min="1" max="1" width="5.5703125" customWidth="1"/>
    <col min="2" max="2" width="18.7109375" customWidth="1"/>
    <col min="3" max="3" width="14.42578125" customWidth="1"/>
    <col min="4" max="4" width="15.140625" customWidth="1"/>
    <col min="5" max="5" width="14.42578125" customWidth="1"/>
    <col min="6" max="6" width="13.140625" customWidth="1"/>
    <col min="7" max="7" width="11.7109375" customWidth="1"/>
    <col min="8" max="8" width="13.140625" customWidth="1"/>
  </cols>
  <sheetData>
    <row r="1" spans="1:8" ht="40.9" customHeight="1">
      <c r="A1" s="340" t="s">
        <v>264</v>
      </c>
      <c r="B1" s="340"/>
      <c r="C1" s="340"/>
      <c r="D1" s="340"/>
      <c r="E1" s="340"/>
      <c r="F1" s="340"/>
      <c r="G1" s="340"/>
      <c r="H1" s="340"/>
    </row>
    <row r="2" spans="1:8" ht="15.75">
      <c r="A2" s="338" t="s">
        <v>0</v>
      </c>
      <c r="B2" s="338" t="s">
        <v>14</v>
      </c>
      <c r="C2" s="341" t="s">
        <v>15</v>
      </c>
      <c r="D2" s="342"/>
      <c r="E2" s="343"/>
      <c r="F2" s="341" t="s">
        <v>16</v>
      </c>
      <c r="G2" s="342"/>
      <c r="H2" s="343"/>
    </row>
    <row r="3" spans="1:8" ht="15.75">
      <c r="A3" s="339"/>
      <c r="B3" s="339"/>
      <c r="C3" s="2" t="s">
        <v>17</v>
      </c>
      <c r="D3" s="2" t="s">
        <v>18</v>
      </c>
      <c r="E3" s="2" t="s">
        <v>19</v>
      </c>
      <c r="F3" s="2" t="s">
        <v>17</v>
      </c>
      <c r="G3" s="2" t="s">
        <v>18</v>
      </c>
      <c r="H3" s="2" t="s">
        <v>19</v>
      </c>
    </row>
    <row r="4" spans="1:8" ht="15.75" thickBot="1">
      <c r="A4" s="5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</row>
    <row r="5" spans="1:8" ht="15.75" customHeight="1" thickBot="1">
      <c r="A5" s="344" t="s">
        <v>20</v>
      </c>
      <c r="B5" s="345"/>
      <c r="C5" s="13">
        <v>48.46</v>
      </c>
      <c r="D5" s="13">
        <v>47.6</v>
      </c>
      <c r="E5" s="13">
        <v>48.21</v>
      </c>
      <c r="F5" s="13">
        <v>940</v>
      </c>
      <c r="G5" s="13">
        <v>908</v>
      </c>
      <c r="H5" s="13">
        <v>931</v>
      </c>
    </row>
    <row r="6" spans="1:8" ht="15.75" customHeight="1" thickBot="1">
      <c r="A6" s="4">
        <v>1</v>
      </c>
      <c r="B6" s="3" t="s">
        <v>21</v>
      </c>
      <c r="C6" s="2">
        <v>47.42</v>
      </c>
      <c r="D6" s="2">
        <v>46.92</v>
      </c>
      <c r="E6" s="2">
        <v>47.35</v>
      </c>
      <c r="F6" s="2">
        <v>902</v>
      </c>
      <c r="G6" s="2">
        <v>884</v>
      </c>
      <c r="H6" s="2">
        <v>899</v>
      </c>
    </row>
    <row r="7" spans="1:8" ht="15.75" customHeight="1">
      <c r="A7" s="4">
        <v>2</v>
      </c>
      <c r="B7" s="3" t="s">
        <v>22</v>
      </c>
      <c r="C7" s="2">
        <v>48.61</v>
      </c>
      <c r="D7" s="2">
        <v>46.67</v>
      </c>
      <c r="E7" s="2">
        <v>48.06</v>
      </c>
      <c r="F7" s="2">
        <v>946</v>
      </c>
      <c r="G7" s="2">
        <v>875</v>
      </c>
      <c r="H7" s="2">
        <v>925</v>
      </c>
    </row>
    <row r="8" spans="1:8" ht="15.75" customHeight="1">
      <c r="A8" s="4">
        <v>3</v>
      </c>
      <c r="B8" s="3" t="s">
        <v>23</v>
      </c>
      <c r="C8" s="2">
        <v>49.82</v>
      </c>
      <c r="D8" s="2">
        <v>47.71</v>
      </c>
      <c r="E8" s="2">
        <v>49.4</v>
      </c>
      <c r="F8" s="2">
        <v>993</v>
      </c>
      <c r="G8" s="2">
        <v>912</v>
      </c>
      <c r="H8" s="2">
        <v>976</v>
      </c>
    </row>
    <row r="9" spans="1:8" ht="15.75" customHeight="1">
      <c r="A9" s="4">
        <v>4</v>
      </c>
      <c r="B9" s="3" t="s">
        <v>24</v>
      </c>
      <c r="C9" s="2">
        <v>49.42</v>
      </c>
      <c r="D9" s="2">
        <v>48.38</v>
      </c>
      <c r="E9" s="2">
        <v>49.2</v>
      </c>
      <c r="F9" s="2">
        <v>977</v>
      </c>
      <c r="G9" s="2">
        <v>937</v>
      </c>
      <c r="H9" s="2">
        <v>968</v>
      </c>
    </row>
    <row r="10" spans="1:8" ht="15.75" customHeight="1">
      <c r="A10" s="4">
        <v>5</v>
      </c>
      <c r="B10" s="3" t="s">
        <v>25</v>
      </c>
      <c r="C10" s="2">
        <v>48.36</v>
      </c>
      <c r="D10" s="2">
        <v>47.46</v>
      </c>
      <c r="E10" s="2">
        <v>47.89</v>
      </c>
      <c r="F10" s="2">
        <v>937</v>
      </c>
      <c r="G10" s="2">
        <v>903</v>
      </c>
      <c r="H10" s="2">
        <v>919</v>
      </c>
    </row>
    <row r="11" spans="1:8" ht="15.75" customHeight="1">
      <c r="A11" s="4">
        <v>6</v>
      </c>
      <c r="B11" s="3" t="s">
        <v>26</v>
      </c>
      <c r="C11" s="2">
        <v>49.2</v>
      </c>
      <c r="D11" s="2">
        <v>46.23</v>
      </c>
      <c r="E11" s="2">
        <v>48.76</v>
      </c>
      <c r="F11" s="2">
        <v>969</v>
      </c>
      <c r="G11" s="2">
        <v>860</v>
      </c>
      <c r="H11" s="2">
        <v>951</v>
      </c>
    </row>
    <row r="12" spans="1:8" ht="15.75" customHeight="1">
      <c r="A12" s="4">
        <v>7</v>
      </c>
      <c r="B12" s="3" t="s">
        <v>27</v>
      </c>
      <c r="C12" s="2">
        <v>48.4</v>
      </c>
      <c r="D12" s="2">
        <v>47.05</v>
      </c>
      <c r="E12" s="2">
        <v>48.15</v>
      </c>
      <c r="F12" s="2">
        <v>938</v>
      </c>
      <c r="G12" s="2">
        <v>889</v>
      </c>
      <c r="H12" s="2">
        <v>929</v>
      </c>
    </row>
    <row r="13" spans="1:8" ht="15.75" customHeight="1">
      <c r="A13" s="4">
        <v>8</v>
      </c>
      <c r="B13" s="3" t="s">
        <v>28</v>
      </c>
      <c r="C13" s="2">
        <v>47.49</v>
      </c>
      <c r="D13" s="2">
        <v>47.58</v>
      </c>
      <c r="E13" s="2">
        <v>47.5</v>
      </c>
      <c r="F13" s="2">
        <v>904</v>
      </c>
      <c r="G13" s="2">
        <v>908</v>
      </c>
      <c r="H13" s="2">
        <v>905</v>
      </c>
    </row>
    <row r="14" spans="1:8" ht="15.75" customHeight="1">
      <c r="A14" s="4">
        <v>9</v>
      </c>
      <c r="B14" s="3" t="s">
        <v>29</v>
      </c>
      <c r="C14" s="2">
        <v>49.16</v>
      </c>
      <c r="D14" s="2">
        <v>47.92</v>
      </c>
      <c r="E14" s="2">
        <v>48.89</v>
      </c>
      <c r="F14" s="2">
        <v>967</v>
      </c>
      <c r="G14" s="2">
        <v>920</v>
      </c>
      <c r="H14" s="2">
        <v>956</v>
      </c>
    </row>
    <row r="15" spans="1:8" ht="15.75" customHeight="1">
      <c r="A15" s="4">
        <v>10</v>
      </c>
      <c r="B15" s="3" t="s">
        <v>30</v>
      </c>
      <c r="C15" s="2">
        <v>48.01</v>
      </c>
      <c r="D15" s="2">
        <v>48.3</v>
      </c>
      <c r="E15" s="2">
        <v>48.14</v>
      </c>
      <c r="F15" s="2">
        <v>924</v>
      </c>
      <c r="G15" s="2">
        <v>934</v>
      </c>
      <c r="H15" s="2">
        <v>928</v>
      </c>
    </row>
    <row r="16" spans="1:8" ht="15.75" customHeight="1">
      <c r="A16" s="4">
        <v>11</v>
      </c>
      <c r="B16" s="3" t="s">
        <v>31</v>
      </c>
      <c r="C16" s="2">
        <v>47.37</v>
      </c>
      <c r="D16" s="2">
        <v>50.3</v>
      </c>
      <c r="E16" s="2">
        <v>47.79</v>
      </c>
      <c r="F16" s="2">
        <v>900</v>
      </c>
      <c r="G16" s="17">
        <v>1012</v>
      </c>
      <c r="H16" s="2">
        <v>915</v>
      </c>
    </row>
    <row r="17" spans="1:8" ht="16.899999999999999" customHeight="1">
      <c r="A17" s="336" t="s">
        <v>545</v>
      </c>
      <c r="B17" s="336"/>
      <c r="C17" s="336"/>
      <c r="D17" s="336"/>
      <c r="E17" s="336"/>
      <c r="F17" s="336"/>
      <c r="G17" s="336"/>
      <c r="H17" s="336"/>
    </row>
    <row r="18" spans="1:8" ht="15.75">
      <c r="A18" s="1"/>
      <c r="B18" s="101"/>
      <c r="C18" s="102"/>
      <c r="D18" s="102"/>
    </row>
    <row r="19" spans="1:8" ht="15.75">
      <c r="B19" s="103"/>
      <c r="C19" s="102"/>
      <c r="D19" s="102"/>
    </row>
    <row r="20" spans="1:8" ht="15.75">
      <c r="B20" s="103"/>
      <c r="C20" s="102"/>
      <c r="D20" s="102"/>
    </row>
    <row r="21" spans="1:8" ht="15.75">
      <c r="B21" s="103"/>
      <c r="C21" s="102"/>
      <c r="D21" s="102"/>
    </row>
    <row r="22" spans="1:8" ht="15.75">
      <c r="B22" s="103"/>
      <c r="C22" s="102"/>
      <c r="D22" s="102"/>
    </row>
    <row r="23" spans="1:8" ht="15.75">
      <c r="B23" s="103"/>
      <c r="C23" s="102"/>
      <c r="D23" s="102"/>
    </row>
    <row r="24" spans="1:8" ht="15.75">
      <c r="B24" s="103"/>
      <c r="C24" s="102"/>
      <c r="D24" s="102"/>
    </row>
    <row r="25" spans="1:8" ht="15.75">
      <c r="B25" s="103"/>
      <c r="C25" s="102"/>
      <c r="D25" s="102"/>
    </row>
    <row r="26" spans="1:8" ht="15.75">
      <c r="B26" s="103"/>
      <c r="C26" s="102"/>
      <c r="D26" s="102"/>
    </row>
    <row r="27" spans="1:8" ht="15.75">
      <c r="B27" s="103"/>
      <c r="C27" s="102"/>
      <c r="D27" s="102"/>
    </row>
    <row r="28" spans="1:8" ht="15.75">
      <c r="B28" s="103"/>
      <c r="C28" s="102"/>
      <c r="D28" s="102"/>
    </row>
    <row r="29" spans="1:8" ht="15.75">
      <c r="B29" s="103"/>
      <c r="C29" s="102"/>
      <c r="D29" s="104"/>
    </row>
  </sheetData>
  <mergeCells count="7">
    <mergeCell ref="A1:H1"/>
    <mergeCell ref="C2:E2"/>
    <mergeCell ref="F2:H2"/>
    <mergeCell ref="A17:H17"/>
    <mergeCell ref="A2:A3"/>
    <mergeCell ref="B2:B3"/>
    <mergeCell ref="A5:B5"/>
  </mergeCells>
  <pageMargins left="0.69930555555555596" right="0.69930555555555596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H18"/>
  <sheetViews>
    <sheetView workbookViewId="0">
      <selection activeCell="A18" sqref="A18:H18"/>
    </sheetView>
  </sheetViews>
  <sheetFormatPr defaultColWidth="9" defaultRowHeight="15"/>
  <cols>
    <col min="1" max="1" width="5.7109375" customWidth="1"/>
    <col min="2" max="2" width="18.7109375" customWidth="1"/>
    <col min="3" max="3" width="14.42578125" customWidth="1"/>
    <col min="4" max="4" width="13.42578125" customWidth="1"/>
    <col min="5" max="5" width="13.7109375" customWidth="1"/>
    <col min="6" max="6" width="12.7109375" customWidth="1"/>
    <col min="7" max="7" width="15.28515625" customWidth="1"/>
    <col min="8" max="8" width="19.85546875" customWidth="1"/>
  </cols>
  <sheetData>
    <row r="1" spans="1:8" ht="27" customHeight="1" thickBot="1">
      <c r="A1" s="346" t="s">
        <v>265</v>
      </c>
      <c r="B1" s="346"/>
      <c r="C1" s="346"/>
      <c r="D1" s="346"/>
      <c r="E1" s="346"/>
      <c r="F1" s="346"/>
      <c r="G1" s="346"/>
      <c r="H1" s="346"/>
    </row>
    <row r="2" spans="1:8" ht="38.450000000000003" customHeight="1" thickBot="1">
      <c r="A2" s="48" t="s">
        <v>0</v>
      </c>
      <c r="B2" s="349" t="s">
        <v>14</v>
      </c>
      <c r="C2" s="351">
        <v>1971</v>
      </c>
      <c r="D2" s="349">
        <v>1981</v>
      </c>
      <c r="E2" s="351">
        <v>1991</v>
      </c>
      <c r="F2" s="349">
        <v>2001</v>
      </c>
      <c r="G2" s="351">
        <v>2011</v>
      </c>
      <c r="H2" s="353" t="s">
        <v>32</v>
      </c>
    </row>
    <row r="3" spans="1:8" ht="16.5" hidden="1" thickBot="1">
      <c r="A3" s="49" t="s">
        <v>33</v>
      </c>
      <c r="B3" s="350"/>
      <c r="C3" s="352"/>
      <c r="D3" s="350"/>
      <c r="E3" s="352"/>
      <c r="F3" s="350"/>
      <c r="G3" s="352"/>
      <c r="H3" s="354"/>
    </row>
    <row r="4" spans="1:8" ht="15.75" thickBot="1">
      <c r="A4" s="52">
        <v>1</v>
      </c>
      <c r="B4" s="40">
        <v>2</v>
      </c>
      <c r="C4" s="40">
        <v>3</v>
      </c>
      <c r="D4" s="51">
        <v>4</v>
      </c>
      <c r="E4" s="40">
        <v>5</v>
      </c>
      <c r="F4" s="51">
        <v>6</v>
      </c>
      <c r="G4" s="40">
        <v>7</v>
      </c>
      <c r="H4" s="50">
        <v>8</v>
      </c>
    </row>
    <row r="5" spans="1:8" ht="15.75" customHeight="1" thickBot="1">
      <c r="A5" s="309">
        <v>1</v>
      </c>
      <c r="B5" s="3" t="s">
        <v>21</v>
      </c>
      <c r="C5" s="2">
        <v>903</v>
      </c>
      <c r="D5" s="2">
        <v>873</v>
      </c>
      <c r="E5" s="2">
        <v>872</v>
      </c>
      <c r="F5" s="2">
        <v>879</v>
      </c>
      <c r="G5" s="2">
        <v>899</v>
      </c>
      <c r="H5" s="15">
        <f>G5/C5*100-100</f>
        <v>-0.4429678848283487</v>
      </c>
    </row>
    <row r="6" spans="1:8" ht="15.75" customHeight="1" thickBot="1">
      <c r="A6" s="309">
        <v>2</v>
      </c>
      <c r="B6" s="3" t="s">
        <v>22</v>
      </c>
      <c r="C6" s="2">
        <v>834</v>
      </c>
      <c r="D6" s="2">
        <v>906</v>
      </c>
      <c r="E6" s="2">
        <v>912</v>
      </c>
      <c r="F6" s="2">
        <v>919</v>
      </c>
      <c r="G6" s="2">
        <v>925</v>
      </c>
      <c r="H6" s="15">
        <f t="shared" ref="H6" si="0">G6/C6*100-100</f>
        <v>10.911270983213427</v>
      </c>
    </row>
    <row r="7" spans="1:8" ht="15.75" customHeight="1" thickBot="1">
      <c r="A7" s="309">
        <v>3</v>
      </c>
      <c r="B7" s="3" t="s">
        <v>23</v>
      </c>
      <c r="C7" s="2">
        <v>978</v>
      </c>
      <c r="D7" s="2">
        <v>959</v>
      </c>
      <c r="E7" s="2">
        <v>964</v>
      </c>
      <c r="F7" s="2">
        <v>947</v>
      </c>
      <c r="G7" s="2">
        <v>976</v>
      </c>
      <c r="H7" s="15">
        <f>G7/C7*100-100</f>
        <v>-0.2044989775051107</v>
      </c>
    </row>
    <row r="8" spans="1:8" ht="15.75" customHeight="1" thickBot="1">
      <c r="A8" s="309">
        <v>4</v>
      </c>
      <c r="B8" s="3" t="s">
        <v>24</v>
      </c>
      <c r="C8" s="2">
        <v>980</v>
      </c>
      <c r="D8" s="2">
        <v>919</v>
      </c>
      <c r="E8" s="2">
        <v>917</v>
      </c>
      <c r="F8" s="2">
        <v>927</v>
      </c>
      <c r="G8" s="2">
        <v>968</v>
      </c>
      <c r="H8" s="15">
        <f>G8/C8*100-100</f>
        <v>-1.2244897959183731</v>
      </c>
    </row>
    <row r="9" spans="1:8" ht="15.75" customHeight="1" thickBot="1">
      <c r="A9" s="309">
        <v>5</v>
      </c>
      <c r="B9" s="3" t="s">
        <v>25</v>
      </c>
      <c r="C9" s="2" t="s">
        <v>34</v>
      </c>
      <c r="D9" s="2" t="s">
        <v>34</v>
      </c>
      <c r="E9" s="2" t="s">
        <v>34</v>
      </c>
      <c r="F9" s="2">
        <v>854</v>
      </c>
      <c r="G9" s="2">
        <v>919</v>
      </c>
      <c r="H9" s="15">
        <f t="shared" ref="H9" si="1">G9/F9*100-100</f>
        <v>7.6112412177985931</v>
      </c>
    </row>
    <row r="10" spans="1:8" ht="15.75" customHeight="1" thickBot="1">
      <c r="A10" s="309">
        <v>6</v>
      </c>
      <c r="B10" s="3" t="s">
        <v>26</v>
      </c>
      <c r="C10" s="2">
        <v>907</v>
      </c>
      <c r="D10" s="2">
        <v>873</v>
      </c>
      <c r="E10" s="2">
        <v>880</v>
      </c>
      <c r="F10" s="2">
        <v>921</v>
      </c>
      <c r="G10" s="2">
        <v>951</v>
      </c>
      <c r="H10" s="15">
        <f t="shared" ref="H10" si="2">G10/C10*100-100</f>
        <v>4.8511576626240327</v>
      </c>
    </row>
    <row r="11" spans="1:8" ht="15.75" customHeight="1" thickBot="1">
      <c r="A11" s="309">
        <v>7</v>
      </c>
      <c r="B11" s="3" t="s">
        <v>27</v>
      </c>
      <c r="C11" s="2">
        <v>911</v>
      </c>
      <c r="D11" s="2">
        <v>892</v>
      </c>
      <c r="E11" s="2">
        <v>889</v>
      </c>
      <c r="F11" s="2">
        <v>900</v>
      </c>
      <c r="G11" s="2">
        <v>929</v>
      </c>
      <c r="H11" s="15">
        <f>G11/C11*100-100</f>
        <v>1.975850713501643</v>
      </c>
    </row>
    <row r="12" spans="1:8" ht="15.75" customHeight="1" thickBot="1">
      <c r="A12" s="309">
        <v>8</v>
      </c>
      <c r="B12" s="3" t="s">
        <v>28</v>
      </c>
      <c r="C12" s="2" t="s">
        <v>34</v>
      </c>
      <c r="D12" s="2" t="s">
        <v>34</v>
      </c>
      <c r="E12" s="2" t="s">
        <v>34</v>
      </c>
      <c r="F12" s="2">
        <v>889</v>
      </c>
      <c r="G12" s="2">
        <v>905</v>
      </c>
      <c r="H12" s="15">
        <f t="shared" ref="H12" si="3">G12/F12*100-100</f>
        <v>1.7997750281214735</v>
      </c>
    </row>
    <row r="13" spans="1:8" ht="15.75" customHeight="1" thickBot="1">
      <c r="A13" s="309">
        <v>9</v>
      </c>
      <c r="B13" s="3" t="s">
        <v>29</v>
      </c>
      <c r="C13" s="2" t="s">
        <v>34</v>
      </c>
      <c r="D13" s="2" t="s">
        <v>34</v>
      </c>
      <c r="E13" s="2" t="s">
        <v>34</v>
      </c>
      <c r="F13" s="2">
        <v>900</v>
      </c>
      <c r="G13" s="2">
        <v>956</v>
      </c>
      <c r="H13" s="15">
        <f>G13/F13*100-100</f>
        <v>6.2222222222222143</v>
      </c>
    </row>
    <row r="14" spans="1:8" ht="15.75" customHeight="1" thickBot="1">
      <c r="A14" s="309">
        <v>10</v>
      </c>
      <c r="B14" s="3" t="s">
        <v>30</v>
      </c>
      <c r="C14" s="2">
        <v>759</v>
      </c>
      <c r="D14" s="2">
        <v>784</v>
      </c>
      <c r="E14" s="2">
        <v>856</v>
      </c>
      <c r="F14" s="2">
        <v>898</v>
      </c>
      <c r="G14" s="2">
        <v>928</v>
      </c>
      <c r="H14" s="15">
        <f>G14/C14*100-100</f>
        <v>22.266139657444</v>
      </c>
    </row>
    <row r="15" spans="1:8" ht="15.75" customHeight="1" thickBot="1">
      <c r="A15" s="309">
        <v>11</v>
      </c>
      <c r="B15" s="46" t="s">
        <v>31</v>
      </c>
      <c r="C15" s="2" t="s">
        <v>34</v>
      </c>
      <c r="D15" s="2" t="s">
        <v>34</v>
      </c>
      <c r="E15" s="2" t="s">
        <v>34</v>
      </c>
      <c r="F15" s="2">
        <v>946</v>
      </c>
      <c r="G15" s="2">
        <v>915</v>
      </c>
      <c r="H15" s="15">
        <f>G15/F15*100-100</f>
        <v>-3.2769556025370008</v>
      </c>
    </row>
    <row r="16" spans="1:8" ht="15.75" customHeight="1" thickBot="1">
      <c r="A16" s="314">
        <v>12</v>
      </c>
      <c r="B16" s="47" t="s">
        <v>20</v>
      </c>
      <c r="C16" s="13">
        <v>871</v>
      </c>
      <c r="D16" s="13">
        <v>863</v>
      </c>
      <c r="E16" s="13">
        <v>886</v>
      </c>
      <c r="F16" s="13">
        <v>900</v>
      </c>
      <c r="G16" s="13">
        <v>931</v>
      </c>
      <c r="H16" s="16">
        <f>G16/C16*100-100</f>
        <v>6.8886337543054026</v>
      </c>
    </row>
    <row r="17" spans="1:8" ht="18" customHeight="1">
      <c r="A17" s="336" t="s">
        <v>80</v>
      </c>
      <c r="B17" s="347"/>
      <c r="C17" s="336"/>
      <c r="D17" s="336"/>
      <c r="E17" s="336"/>
      <c r="F17" s="336"/>
      <c r="G17" s="336"/>
      <c r="H17" s="336"/>
    </row>
    <row r="18" spans="1:8">
      <c r="A18" s="348" t="s">
        <v>79</v>
      </c>
      <c r="B18" s="348"/>
      <c r="C18" s="348"/>
      <c r="D18" s="348"/>
      <c r="E18" s="348"/>
      <c r="F18" s="348"/>
      <c r="G18" s="348"/>
      <c r="H18" s="348"/>
    </row>
  </sheetData>
  <mergeCells count="10">
    <mergeCell ref="A1:H1"/>
    <mergeCell ref="A17:H17"/>
    <mergeCell ref="A18:H18"/>
    <mergeCell ref="B2:B3"/>
    <mergeCell ref="C2:C3"/>
    <mergeCell ref="D2:D3"/>
    <mergeCell ref="E2:E3"/>
    <mergeCell ref="F2:F3"/>
    <mergeCell ref="G2:G3"/>
    <mergeCell ref="H2:H3"/>
  </mergeCells>
  <pageMargins left="0.69930555555555596" right="0.69930555555555596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K18"/>
  <sheetViews>
    <sheetView workbookViewId="0">
      <selection activeCell="E22" sqref="E22"/>
    </sheetView>
  </sheetViews>
  <sheetFormatPr defaultRowHeight="15"/>
  <cols>
    <col min="1" max="1" width="4.28515625" style="39" customWidth="1"/>
    <col min="2" max="2" width="14" customWidth="1"/>
    <col min="3" max="3" width="13" customWidth="1"/>
    <col min="4" max="4" width="10.85546875" customWidth="1"/>
    <col min="5" max="5" width="10.42578125" customWidth="1"/>
    <col min="6" max="6" width="11.42578125" customWidth="1"/>
    <col min="7" max="7" width="11.140625" customWidth="1"/>
    <col min="8" max="9" width="10.7109375" customWidth="1"/>
    <col min="10" max="10" width="12.5703125" customWidth="1"/>
    <col min="11" max="11" width="13.28515625" customWidth="1"/>
  </cols>
  <sheetData>
    <row r="1" spans="1:11">
      <c r="A1" s="129" t="s">
        <v>258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1">
      <c r="A2" s="356" t="s">
        <v>126</v>
      </c>
      <c r="B2" s="358" t="s">
        <v>81</v>
      </c>
      <c r="C2" s="355" t="s">
        <v>82</v>
      </c>
      <c r="D2" s="355"/>
      <c r="E2" s="355"/>
      <c r="F2" s="359" t="s">
        <v>106</v>
      </c>
      <c r="G2" s="359"/>
      <c r="H2" s="359"/>
      <c r="I2" s="355" t="s">
        <v>107</v>
      </c>
      <c r="J2" s="355"/>
      <c r="K2" s="355"/>
    </row>
    <row r="3" spans="1:11">
      <c r="A3" s="357"/>
      <c r="B3" s="358"/>
      <c r="C3" s="25" t="s">
        <v>83</v>
      </c>
      <c r="D3" s="25" t="s">
        <v>84</v>
      </c>
      <c r="E3" s="25" t="s">
        <v>85</v>
      </c>
      <c r="F3" s="25" t="s">
        <v>83</v>
      </c>
      <c r="G3" s="25" t="s">
        <v>84</v>
      </c>
      <c r="H3" s="25" t="s">
        <v>85</v>
      </c>
      <c r="I3" s="25" t="s">
        <v>83</v>
      </c>
      <c r="J3" s="25" t="s">
        <v>84</v>
      </c>
      <c r="K3" s="25" t="s">
        <v>85</v>
      </c>
    </row>
    <row r="4" spans="1:11">
      <c r="A4" s="23">
        <v>0</v>
      </c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I4" s="26">
        <v>8</v>
      </c>
      <c r="J4" s="26">
        <v>9</v>
      </c>
      <c r="K4" s="26">
        <v>10</v>
      </c>
    </row>
    <row r="5" spans="1:11" ht="15.75">
      <c r="A5" s="534" t="s">
        <v>86</v>
      </c>
      <c r="B5" s="535"/>
      <c r="C5" s="315" t="s">
        <v>87</v>
      </c>
      <c r="D5" s="315" t="s">
        <v>88</v>
      </c>
      <c r="E5" s="315" t="s">
        <v>89</v>
      </c>
      <c r="F5" s="315" t="s">
        <v>108</v>
      </c>
      <c r="G5" s="315" t="s">
        <v>109</v>
      </c>
      <c r="H5" s="315" t="s">
        <v>110</v>
      </c>
      <c r="I5" s="315" t="s">
        <v>111</v>
      </c>
      <c r="J5" s="315" t="s">
        <v>112</v>
      </c>
      <c r="K5" s="315" t="s">
        <v>113</v>
      </c>
    </row>
    <row r="6" spans="1:11" ht="15.75">
      <c r="A6" s="23">
        <v>1</v>
      </c>
      <c r="B6" s="23" t="s">
        <v>127</v>
      </c>
      <c r="C6" s="33" t="s">
        <v>90</v>
      </c>
      <c r="D6" s="33" t="s">
        <v>91</v>
      </c>
      <c r="E6" s="33" t="s">
        <v>92</v>
      </c>
      <c r="F6" s="33">
        <v>36286</v>
      </c>
      <c r="G6" s="33">
        <v>18279</v>
      </c>
      <c r="H6" s="33">
        <v>18007</v>
      </c>
      <c r="I6" s="33" t="s">
        <v>114</v>
      </c>
      <c r="J6" s="33" t="s">
        <v>115</v>
      </c>
      <c r="K6" s="33" t="s">
        <v>116</v>
      </c>
    </row>
    <row r="7" spans="1:11" ht="15.75">
      <c r="A7" s="23">
        <v>2</v>
      </c>
      <c r="B7" s="23" t="s">
        <v>128</v>
      </c>
      <c r="C7" s="33" t="s">
        <v>93</v>
      </c>
      <c r="D7" s="33" t="s">
        <v>94</v>
      </c>
      <c r="E7" s="33" t="s">
        <v>95</v>
      </c>
      <c r="F7" s="33">
        <v>50898</v>
      </c>
      <c r="G7" s="33">
        <v>25889</v>
      </c>
      <c r="H7" s="33">
        <v>25009</v>
      </c>
      <c r="I7" s="33" t="s">
        <v>117</v>
      </c>
      <c r="J7" s="33" t="s">
        <v>118</v>
      </c>
      <c r="K7" s="33" t="s">
        <v>119</v>
      </c>
    </row>
    <row r="8" spans="1:11" ht="15.75">
      <c r="A8" s="23">
        <v>3</v>
      </c>
      <c r="B8" s="23" t="s">
        <v>129</v>
      </c>
      <c r="C8" s="33" t="s">
        <v>96</v>
      </c>
      <c r="D8" s="33">
        <v>83743</v>
      </c>
      <c r="E8" s="33">
        <v>79675</v>
      </c>
      <c r="F8" s="33">
        <v>27752</v>
      </c>
      <c r="G8" s="33">
        <v>14505</v>
      </c>
      <c r="H8" s="33">
        <v>13247</v>
      </c>
      <c r="I8" s="33" t="s">
        <v>120</v>
      </c>
      <c r="J8" s="33">
        <v>69238</v>
      </c>
      <c r="K8" s="33">
        <v>66428</v>
      </c>
    </row>
    <row r="9" spans="1:11" ht="15.75">
      <c r="A9" s="23">
        <v>4</v>
      </c>
      <c r="B9" s="23" t="s">
        <v>22</v>
      </c>
      <c r="C9" s="33" t="s">
        <v>97</v>
      </c>
      <c r="D9" s="33" t="s">
        <v>98</v>
      </c>
      <c r="E9" s="33">
        <v>93530</v>
      </c>
      <c r="F9" s="33">
        <v>20536</v>
      </c>
      <c r="G9" s="33">
        <v>10534</v>
      </c>
      <c r="H9" s="33">
        <v>10002</v>
      </c>
      <c r="I9" s="316" t="s">
        <v>121</v>
      </c>
      <c r="J9" s="33">
        <v>90558</v>
      </c>
      <c r="K9" s="317">
        <v>83528</v>
      </c>
    </row>
    <row r="10" spans="1:11" ht="15.75">
      <c r="A10" s="23">
        <v>5</v>
      </c>
      <c r="B10" s="23" t="s">
        <v>130</v>
      </c>
      <c r="C10" s="33" t="s">
        <v>99</v>
      </c>
      <c r="D10" s="33">
        <v>84505</v>
      </c>
      <c r="E10" s="33">
        <v>81838</v>
      </c>
      <c r="F10" s="33">
        <v>20138</v>
      </c>
      <c r="G10" s="33">
        <v>10298</v>
      </c>
      <c r="H10" s="33">
        <v>9840</v>
      </c>
      <c r="I10" s="33" t="s">
        <v>122</v>
      </c>
      <c r="J10" s="320">
        <v>74207</v>
      </c>
      <c r="K10" s="318">
        <v>71998</v>
      </c>
    </row>
    <row r="11" spans="1:11" ht="15.75">
      <c r="A11" s="23">
        <v>6</v>
      </c>
      <c r="B11" s="23" t="s">
        <v>131</v>
      </c>
      <c r="C11" s="33" t="s">
        <v>100</v>
      </c>
      <c r="D11" s="33">
        <v>71217</v>
      </c>
      <c r="E11" s="33">
        <v>69540</v>
      </c>
      <c r="F11" s="33">
        <v>20093</v>
      </c>
      <c r="G11" s="33">
        <v>10316</v>
      </c>
      <c r="H11" s="33">
        <v>9777</v>
      </c>
      <c r="I11" s="33" t="s">
        <v>123</v>
      </c>
      <c r="J11" s="318">
        <v>60901</v>
      </c>
      <c r="K11" s="318">
        <v>59763</v>
      </c>
    </row>
    <row r="12" spans="1:11" ht="15.75">
      <c r="A12" s="23">
        <v>7</v>
      </c>
      <c r="B12" s="23" t="s">
        <v>132</v>
      </c>
      <c r="C12" s="33" t="s">
        <v>101</v>
      </c>
      <c r="D12" s="33" t="s">
        <v>102</v>
      </c>
      <c r="E12" s="33">
        <v>94663</v>
      </c>
      <c r="F12" s="33">
        <v>35790</v>
      </c>
      <c r="G12" s="33">
        <v>18516</v>
      </c>
      <c r="H12" s="33">
        <v>17274</v>
      </c>
      <c r="I12" s="318" t="s">
        <v>124</v>
      </c>
      <c r="J12" s="318">
        <v>83417</v>
      </c>
      <c r="K12" s="318">
        <v>77389</v>
      </c>
    </row>
    <row r="13" spans="1:11" ht="15.75">
      <c r="A13" s="23">
        <v>8</v>
      </c>
      <c r="B13" s="23" t="s">
        <v>21</v>
      </c>
      <c r="C13" s="33" t="s">
        <v>103</v>
      </c>
      <c r="D13" s="33" t="s">
        <v>104</v>
      </c>
      <c r="E13" s="33" t="s">
        <v>105</v>
      </c>
      <c r="F13" s="33">
        <v>40342</v>
      </c>
      <c r="G13" s="33">
        <v>21099</v>
      </c>
      <c r="H13" s="33">
        <v>19243</v>
      </c>
      <c r="I13" s="33" t="s">
        <v>125</v>
      </c>
      <c r="J13" s="318">
        <v>110654</v>
      </c>
      <c r="K13" s="318">
        <v>99264</v>
      </c>
    </row>
    <row r="14" spans="1:11" ht="15.75">
      <c r="A14" s="23">
        <v>9</v>
      </c>
      <c r="B14" s="27" t="s">
        <v>31</v>
      </c>
      <c r="C14" s="33">
        <v>95219</v>
      </c>
      <c r="D14" s="319">
        <v>49714</v>
      </c>
      <c r="E14" s="319">
        <v>45505</v>
      </c>
      <c r="F14" s="33">
        <v>15415</v>
      </c>
      <c r="G14" s="33">
        <v>7967</v>
      </c>
      <c r="H14" s="33">
        <v>7448</v>
      </c>
      <c r="I14" s="33">
        <v>79804</v>
      </c>
      <c r="J14" s="33">
        <v>41747</v>
      </c>
      <c r="K14" s="318">
        <v>38057</v>
      </c>
    </row>
    <row r="15" spans="1:11" ht="15.75">
      <c r="A15" s="23">
        <v>10</v>
      </c>
      <c r="B15" s="27" t="s">
        <v>133</v>
      </c>
      <c r="C15" s="33">
        <v>74004</v>
      </c>
      <c r="D15" s="319">
        <v>37830</v>
      </c>
      <c r="E15" s="319">
        <v>36174</v>
      </c>
      <c r="F15" s="33">
        <v>14711</v>
      </c>
      <c r="G15" s="33">
        <v>7550</v>
      </c>
      <c r="H15" s="33">
        <v>7161</v>
      </c>
      <c r="I15" s="33">
        <v>59293</v>
      </c>
      <c r="J15" s="33">
        <v>30280</v>
      </c>
      <c r="K15" s="33">
        <v>29013</v>
      </c>
    </row>
    <row r="16" spans="1:11" ht="15.75">
      <c r="A16" s="23">
        <v>11</v>
      </c>
      <c r="B16" s="27" t="s">
        <v>28</v>
      </c>
      <c r="C16" s="33">
        <v>50484</v>
      </c>
      <c r="D16" s="319">
        <v>26502</v>
      </c>
      <c r="E16" s="319">
        <v>23982</v>
      </c>
      <c r="F16" s="33">
        <v>9110</v>
      </c>
      <c r="G16" s="33">
        <v>4832</v>
      </c>
      <c r="H16" s="33">
        <v>4278</v>
      </c>
      <c r="I16" s="33">
        <v>41374</v>
      </c>
      <c r="J16" s="33">
        <v>21670</v>
      </c>
      <c r="K16" s="33">
        <v>19704</v>
      </c>
    </row>
    <row r="17" spans="1:11">
      <c r="A17" s="348" t="s">
        <v>79</v>
      </c>
      <c r="B17" s="348"/>
      <c r="C17" s="348"/>
      <c r="D17" s="348"/>
      <c r="E17" s="348"/>
      <c r="F17" s="348"/>
      <c r="G17" s="348"/>
      <c r="H17" s="348"/>
      <c r="I17" s="30"/>
      <c r="J17" s="28"/>
      <c r="K17" s="28"/>
    </row>
    <row r="18" spans="1:11">
      <c r="A18" s="128"/>
      <c r="B18" s="24"/>
      <c r="C18" s="24"/>
      <c r="D18" s="24"/>
      <c r="E18" s="24"/>
      <c r="F18" s="29"/>
      <c r="G18" s="24"/>
      <c r="H18" s="24"/>
      <c r="I18" s="24"/>
      <c r="J18" s="24"/>
      <c r="K18" s="24"/>
    </row>
  </sheetData>
  <mergeCells count="7">
    <mergeCell ref="I2:K2"/>
    <mergeCell ref="A17:H17"/>
    <mergeCell ref="A2:A3"/>
    <mergeCell ref="B2:B3"/>
    <mergeCell ref="C2:E2"/>
    <mergeCell ref="F2:H2"/>
    <mergeCell ref="A5:B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H32"/>
  <sheetViews>
    <sheetView workbookViewId="0">
      <selection activeCell="I22" sqref="I22"/>
    </sheetView>
  </sheetViews>
  <sheetFormatPr defaultColWidth="9" defaultRowHeight="15"/>
  <cols>
    <col min="1" max="1" width="4.7109375" customWidth="1"/>
    <col min="2" max="2" width="15.85546875" customWidth="1"/>
    <col min="3" max="8" width="12.7109375" customWidth="1"/>
  </cols>
  <sheetData>
    <row r="1" spans="1:8" ht="28.9" customHeight="1" thickBot="1">
      <c r="A1" s="346" t="s">
        <v>266</v>
      </c>
      <c r="B1" s="346"/>
      <c r="C1" s="346"/>
      <c r="D1" s="346"/>
      <c r="E1" s="346"/>
      <c r="F1" s="346"/>
      <c r="G1" s="346"/>
      <c r="H1" s="346"/>
    </row>
    <row r="2" spans="1:8" ht="15.6" customHeight="1" thickBot="1">
      <c r="A2" s="338" t="s">
        <v>0</v>
      </c>
      <c r="B2" s="366" t="s">
        <v>14</v>
      </c>
      <c r="C2" s="360">
        <v>2001</v>
      </c>
      <c r="D2" s="361"/>
      <c r="E2" s="361"/>
      <c r="F2" s="362">
        <v>2011</v>
      </c>
      <c r="G2" s="363"/>
      <c r="H2" s="364"/>
    </row>
    <row r="3" spans="1:8" ht="15" customHeight="1" thickBot="1">
      <c r="A3" s="339"/>
      <c r="B3" s="367"/>
      <c r="C3" s="41" t="s">
        <v>17</v>
      </c>
      <c r="D3" s="41" t="s">
        <v>18</v>
      </c>
      <c r="E3" s="41" t="s">
        <v>19</v>
      </c>
      <c r="F3" s="41" t="s">
        <v>17</v>
      </c>
      <c r="G3" s="41" t="s">
        <v>18</v>
      </c>
      <c r="H3" s="41" t="s">
        <v>19</v>
      </c>
    </row>
    <row r="4" spans="1:8" ht="15.75" thickBot="1">
      <c r="A4" s="5">
        <v>1</v>
      </c>
      <c r="B4" s="6">
        <v>2</v>
      </c>
      <c r="C4" s="6">
        <v>3</v>
      </c>
      <c r="D4" s="9">
        <v>4</v>
      </c>
      <c r="E4" s="40">
        <v>5</v>
      </c>
      <c r="F4" s="44">
        <v>6</v>
      </c>
      <c r="G4" s="45">
        <v>7</v>
      </c>
      <c r="H4" s="45">
        <v>8</v>
      </c>
    </row>
    <row r="5" spans="1:8" ht="15.75" customHeight="1" thickBot="1">
      <c r="A5" s="4">
        <v>1</v>
      </c>
      <c r="B5" s="3" t="s">
        <v>21</v>
      </c>
      <c r="C5" s="2">
        <v>979</v>
      </c>
      <c r="D5" s="12">
        <v>903</v>
      </c>
      <c r="E5" s="41">
        <v>973</v>
      </c>
      <c r="F5" s="2">
        <v>909</v>
      </c>
      <c r="G5" s="12">
        <v>935</v>
      </c>
      <c r="H5" s="42">
        <v>912</v>
      </c>
    </row>
    <row r="6" spans="1:8" ht="15.75" customHeight="1" thickBot="1">
      <c r="A6" s="4">
        <v>2</v>
      </c>
      <c r="B6" s="3" t="s">
        <v>22</v>
      </c>
      <c r="C6" s="2">
        <v>1002</v>
      </c>
      <c r="D6" s="12">
        <v>917</v>
      </c>
      <c r="E6" s="41">
        <v>989</v>
      </c>
      <c r="F6" s="2">
        <v>949</v>
      </c>
      <c r="G6" s="12">
        <v>951</v>
      </c>
      <c r="H6" s="41">
        <v>949</v>
      </c>
    </row>
    <row r="7" spans="1:8" ht="15.75" customHeight="1" thickBot="1">
      <c r="A7" s="4">
        <v>3</v>
      </c>
      <c r="B7" s="3" t="s">
        <v>23</v>
      </c>
      <c r="C7" s="2">
        <v>955</v>
      </c>
      <c r="D7" s="12">
        <v>878</v>
      </c>
      <c r="E7" s="41">
        <v>944</v>
      </c>
      <c r="F7" s="2">
        <v>929</v>
      </c>
      <c r="G7" s="12">
        <v>1042</v>
      </c>
      <c r="H7" s="42">
        <v>948</v>
      </c>
    </row>
    <row r="8" spans="1:8" ht="15.75" customHeight="1" thickBot="1">
      <c r="A8" s="4">
        <v>4</v>
      </c>
      <c r="B8" s="3" t="s">
        <v>24</v>
      </c>
      <c r="C8" s="2">
        <v>995</v>
      </c>
      <c r="D8" s="12">
        <v>950</v>
      </c>
      <c r="E8" s="42">
        <v>985</v>
      </c>
      <c r="F8" s="2">
        <v>947</v>
      </c>
      <c r="G8" s="12">
        <v>995</v>
      </c>
      <c r="H8" s="41">
        <v>956</v>
      </c>
    </row>
    <row r="9" spans="1:8" ht="15.75" customHeight="1" thickBot="1">
      <c r="A9" s="4">
        <v>5</v>
      </c>
      <c r="B9" s="3" t="s">
        <v>25</v>
      </c>
      <c r="C9" s="2">
        <v>979</v>
      </c>
      <c r="D9" s="12">
        <v>951</v>
      </c>
      <c r="E9" s="41">
        <v>970</v>
      </c>
      <c r="F9" s="2">
        <v>970</v>
      </c>
      <c r="G9" s="12">
        <v>962</v>
      </c>
      <c r="H9" s="42">
        <v>966</v>
      </c>
    </row>
    <row r="10" spans="1:8" ht="15.75" customHeight="1" thickBot="1">
      <c r="A10" s="4">
        <v>6</v>
      </c>
      <c r="B10" s="3" t="s">
        <v>26</v>
      </c>
      <c r="C10" s="2">
        <v>926</v>
      </c>
      <c r="D10" s="12">
        <v>924</v>
      </c>
      <c r="E10" s="41">
        <v>926</v>
      </c>
      <c r="F10" s="2">
        <v>906</v>
      </c>
      <c r="G10" s="12">
        <v>966</v>
      </c>
      <c r="H10" s="41">
        <v>913</v>
      </c>
    </row>
    <row r="11" spans="1:8" ht="15.75" customHeight="1" thickBot="1">
      <c r="A11" s="4">
        <v>7</v>
      </c>
      <c r="B11" s="3" t="s">
        <v>27</v>
      </c>
      <c r="C11" s="2">
        <v>966</v>
      </c>
      <c r="D11" s="12">
        <v>978</v>
      </c>
      <c r="E11" s="42">
        <v>968</v>
      </c>
      <c r="F11" s="2">
        <v>927</v>
      </c>
      <c r="G11" s="12">
        <v>962</v>
      </c>
      <c r="H11" s="42">
        <v>933</v>
      </c>
    </row>
    <row r="12" spans="1:8" ht="15.75" customHeight="1" thickBot="1">
      <c r="A12" s="4">
        <v>8</v>
      </c>
      <c r="B12" s="3" t="s">
        <v>28</v>
      </c>
      <c r="C12" s="2">
        <v>964</v>
      </c>
      <c r="D12" s="12" t="s">
        <v>35</v>
      </c>
      <c r="E12" s="41">
        <v>964</v>
      </c>
      <c r="F12" s="2">
        <v>869</v>
      </c>
      <c r="G12" s="12">
        <v>997</v>
      </c>
      <c r="H12" s="41">
        <v>885</v>
      </c>
    </row>
    <row r="13" spans="1:8" ht="15.75" customHeight="1" thickBot="1">
      <c r="A13" s="4">
        <v>9</v>
      </c>
      <c r="B13" s="3" t="s">
        <v>29</v>
      </c>
      <c r="C13" s="2">
        <v>936</v>
      </c>
      <c r="D13" s="12" t="s">
        <v>35</v>
      </c>
      <c r="E13" s="42">
        <v>936</v>
      </c>
      <c r="F13" s="2">
        <v>944</v>
      </c>
      <c r="G13" s="12">
        <v>968</v>
      </c>
      <c r="H13" s="42">
        <v>948</v>
      </c>
    </row>
    <row r="14" spans="1:8" ht="15.75" customHeight="1" thickBot="1">
      <c r="A14" s="4">
        <v>10</v>
      </c>
      <c r="B14" s="3" t="s">
        <v>30</v>
      </c>
      <c r="C14" s="2">
        <v>981</v>
      </c>
      <c r="D14" s="12">
        <v>940</v>
      </c>
      <c r="E14" s="41">
        <v>967</v>
      </c>
      <c r="F14" s="2">
        <v>981</v>
      </c>
      <c r="G14" s="12">
        <v>991</v>
      </c>
      <c r="H14" s="41">
        <v>985</v>
      </c>
    </row>
    <row r="15" spans="1:8" ht="15.75" customHeight="1" thickBot="1">
      <c r="A15" s="4">
        <v>11</v>
      </c>
      <c r="B15" s="3" t="s">
        <v>31</v>
      </c>
      <c r="C15" s="2">
        <v>968</v>
      </c>
      <c r="D15" s="12" t="s">
        <v>35</v>
      </c>
      <c r="E15" s="41">
        <v>968</v>
      </c>
      <c r="F15" s="2">
        <v>922</v>
      </c>
      <c r="G15" s="12">
        <v>1012</v>
      </c>
      <c r="H15" s="41">
        <v>935</v>
      </c>
    </row>
    <row r="16" spans="1:8" ht="15.75" customHeight="1" thickBot="1">
      <c r="A16" s="8">
        <v>12</v>
      </c>
      <c r="B16" s="7" t="s">
        <v>20</v>
      </c>
      <c r="C16" s="13">
        <v>969</v>
      </c>
      <c r="D16" s="14">
        <v>939</v>
      </c>
      <c r="E16" s="43">
        <v>964</v>
      </c>
      <c r="F16" s="13">
        <v>933</v>
      </c>
      <c r="G16" s="14">
        <v>973</v>
      </c>
      <c r="H16" s="43">
        <v>943</v>
      </c>
    </row>
    <row r="17" spans="1:8" ht="21" customHeight="1">
      <c r="A17" s="365" t="s">
        <v>36</v>
      </c>
      <c r="B17" s="347"/>
      <c r="C17" s="347"/>
      <c r="D17" s="347"/>
      <c r="E17" s="347"/>
      <c r="F17" s="347"/>
      <c r="G17" s="347"/>
      <c r="H17" s="347"/>
    </row>
    <row r="18" spans="1:8" ht="15.75">
      <c r="A18" s="347" t="s">
        <v>79</v>
      </c>
      <c r="B18" s="347"/>
      <c r="C18" s="347"/>
      <c r="D18" s="347"/>
      <c r="E18" s="347"/>
      <c r="F18" s="347"/>
      <c r="G18" s="347"/>
      <c r="H18" s="347"/>
    </row>
    <row r="20" spans="1:8">
      <c r="B20" s="101"/>
      <c r="C20" s="101"/>
      <c r="D20" s="101"/>
    </row>
    <row r="21" spans="1:8" ht="15.75">
      <c r="B21" s="103"/>
      <c r="C21" s="102"/>
      <c r="D21" s="102"/>
    </row>
    <row r="22" spans="1:8" ht="15.75">
      <c r="B22" s="103"/>
      <c r="C22" s="102"/>
      <c r="D22" s="102"/>
    </row>
    <row r="23" spans="1:8" ht="15.75">
      <c r="B23" s="103"/>
      <c r="C23" s="102"/>
      <c r="D23" s="102"/>
    </row>
    <row r="24" spans="1:8" ht="15.75">
      <c r="B24" s="103"/>
      <c r="C24" s="102"/>
      <c r="D24" s="102"/>
    </row>
    <row r="25" spans="1:8" ht="15.75">
      <c r="B25" s="103"/>
      <c r="C25" s="102"/>
      <c r="D25" s="102"/>
    </row>
    <row r="26" spans="1:8" ht="15.75">
      <c r="B26" s="103"/>
      <c r="C26" s="102"/>
      <c r="D26" s="102"/>
    </row>
    <row r="27" spans="1:8" ht="15.75">
      <c r="B27" s="103"/>
      <c r="C27" s="102"/>
      <c r="D27" s="102"/>
    </row>
    <row r="28" spans="1:8" ht="15.75">
      <c r="B28" s="103"/>
      <c r="C28" s="102"/>
      <c r="D28" s="102"/>
    </row>
    <row r="29" spans="1:8" ht="15.75">
      <c r="B29" s="103"/>
      <c r="C29" s="102"/>
      <c r="D29" s="102"/>
    </row>
    <row r="30" spans="1:8" ht="15.75">
      <c r="B30" s="103"/>
      <c r="C30" s="102"/>
      <c r="D30" s="102"/>
    </row>
    <row r="31" spans="1:8" ht="15.75">
      <c r="B31" s="103"/>
      <c r="C31" s="102"/>
      <c r="D31" s="102"/>
    </row>
    <row r="32" spans="1:8">
      <c r="B32" s="101"/>
      <c r="C32" s="101"/>
      <c r="D32" s="101"/>
    </row>
  </sheetData>
  <mergeCells count="7">
    <mergeCell ref="A1:H1"/>
    <mergeCell ref="C2:E2"/>
    <mergeCell ref="F2:H2"/>
    <mergeCell ref="A17:H17"/>
    <mergeCell ref="A18:H18"/>
    <mergeCell ref="A2:A3"/>
    <mergeCell ref="B2:B3"/>
  </mergeCells>
  <pageMargins left="1.68888888888889" right="0.69930555555555596" top="0.75" bottom="0.75" header="0.3" footer="0.3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M17"/>
  <sheetViews>
    <sheetView workbookViewId="0">
      <selection activeCell="K11" sqref="K11"/>
    </sheetView>
  </sheetViews>
  <sheetFormatPr defaultColWidth="9" defaultRowHeight="15"/>
  <cols>
    <col min="1" max="1" width="5.42578125" customWidth="1"/>
    <col min="2" max="2" width="16.42578125" customWidth="1"/>
    <col min="3" max="3" width="18.28515625" customWidth="1"/>
    <col min="4" max="4" width="14" customWidth="1"/>
    <col min="5" max="5" width="18.140625" customWidth="1"/>
    <col min="6" max="6" width="21.5703125" customWidth="1"/>
    <col min="7" max="7" width="17.7109375" customWidth="1"/>
  </cols>
  <sheetData>
    <row r="1" spans="1:13" ht="40.15" customHeight="1">
      <c r="A1" s="346" t="s">
        <v>267</v>
      </c>
      <c r="B1" s="346"/>
      <c r="C1" s="346"/>
      <c r="D1" s="346"/>
      <c r="E1" s="346"/>
      <c r="F1" s="346"/>
      <c r="G1" s="346"/>
    </row>
    <row r="2" spans="1:13" ht="31.15" customHeight="1">
      <c r="A2" s="310" t="s">
        <v>0</v>
      </c>
      <c r="B2" s="310" t="s">
        <v>14</v>
      </c>
      <c r="C2" s="310" t="s">
        <v>37</v>
      </c>
      <c r="D2" s="310" t="s">
        <v>38</v>
      </c>
      <c r="E2" s="310" t="s">
        <v>39</v>
      </c>
      <c r="F2" s="310" t="s">
        <v>40</v>
      </c>
      <c r="G2" s="310" t="s">
        <v>41</v>
      </c>
    </row>
    <row r="3" spans="1:13" ht="15.75" thickBot="1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</row>
    <row r="4" spans="1:13" ht="15.75" customHeight="1">
      <c r="A4" s="4">
        <v>1</v>
      </c>
      <c r="B4" s="3" t="s">
        <v>21</v>
      </c>
      <c r="C4" s="10">
        <v>912.03374567515095</v>
      </c>
      <c r="D4" s="10">
        <v>901.42148459426301</v>
      </c>
      <c r="E4" s="10">
        <v>931.11283072921003</v>
      </c>
      <c r="F4" s="10">
        <v>905.52035044443505</v>
      </c>
      <c r="G4" s="11">
        <v>830</v>
      </c>
    </row>
    <row r="5" spans="1:13" ht="15.75" customHeight="1">
      <c r="A5" s="4">
        <v>2</v>
      </c>
      <c r="B5" s="3" t="s">
        <v>22</v>
      </c>
      <c r="C5" s="10">
        <v>949.49686728688096</v>
      </c>
      <c r="D5" s="10">
        <v>915.59454689618099</v>
      </c>
      <c r="E5" s="10">
        <v>936.265013560635</v>
      </c>
      <c r="F5" s="10">
        <v>918.81178569706299</v>
      </c>
      <c r="G5" s="11">
        <v>962</v>
      </c>
    </row>
    <row r="6" spans="1:13" ht="15.75" customHeight="1">
      <c r="A6" s="4">
        <v>3</v>
      </c>
      <c r="B6" s="3" t="s">
        <v>23</v>
      </c>
      <c r="C6" s="10">
        <v>947.75106630476898</v>
      </c>
      <c r="D6" s="10">
        <v>962.66674624727705</v>
      </c>
      <c r="E6" s="10">
        <v>1013.39833031701</v>
      </c>
      <c r="F6" s="10">
        <v>984.39125910509904</v>
      </c>
      <c r="G6" s="11">
        <v>883</v>
      </c>
    </row>
    <row r="7" spans="1:13" ht="15.75" customHeight="1">
      <c r="A7" s="4">
        <v>4</v>
      </c>
      <c r="B7" s="3" t="s">
        <v>24</v>
      </c>
      <c r="C7" s="10">
        <v>955.52534472713103</v>
      </c>
      <c r="D7" s="10">
        <v>956.79111683295798</v>
      </c>
      <c r="E7" s="10">
        <v>1005.90421045433</v>
      </c>
      <c r="F7" s="10">
        <v>973.22343555442899</v>
      </c>
      <c r="G7" s="11">
        <v>821</v>
      </c>
    </row>
    <row r="8" spans="1:13" ht="15.75" customHeight="1">
      <c r="A8" s="4">
        <v>5</v>
      </c>
      <c r="B8" s="3" t="s">
        <v>25</v>
      </c>
      <c r="C8" s="10">
        <v>966.00872957626802</v>
      </c>
      <c r="D8" s="10">
        <v>959.15100564529905</v>
      </c>
      <c r="E8" s="10">
        <v>945.185436902368</v>
      </c>
      <c r="F8" s="10">
        <v>930.209138722641</v>
      </c>
      <c r="G8" s="11">
        <v>770</v>
      </c>
    </row>
    <row r="9" spans="1:13" ht="15.75" customHeight="1">
      <c r="A9" s="4">
        <v>6</v>
      </c>
      <c r="B9" s="3" t="s">
        <v>26</v>
      </c>
      <c r="C9" s="10">
        <v>913.27128576353005</v>
      </c>
      <c r="D9" s="10">
        <v>929.36775885939096</v>
      </c>
      <c r="E9" s="10">
        <v>995.95141700404804</v>
      </c>
      <c r="F9" s="10">
        <v>951.79069609199598</v>
      </c>
      <c r="G9" s="11">
        <v>991</v>
      </c>
    </row>
    <row r="10" spans="1:13" ht="15.75" customHeight="1">
      <c r="A10" s="4">
        <v>7</v>
      </c>
      <c r="B10" s="3" t="s">
        <v>27</v>
      </c>
      <c r="C10" s="10">
        <v>932.92287751134199</v>
      </c>
      <c r="D10" s="10">
        <v>917.04014674457699</v>
      </c>
      <c r="E10" s="10">
        <v>974.98483929654299</v>
      </c>
      <c r="F10" s="10">
        <v>934.26103646832996</v>
      </c>
      <c r="G10" s="11">
        <v>788</v>
      </c>
    </row>
    <row r="11" spans="1:13" ht="15.75" customHeight="1">
      <c r="A11" s="4">
        <v>8</v>
      </c>
      <c r="B11" s="3" t="s">
        <v>28</v>
      </c>
      <c r="C11" s="10">
        <v>885.34768211920505</v>
      </c>
      <c r="D11" s="10">
        <v>908.26683195165401</v>
      </c>
      <c r="E11" s="10">
        <v>946.18283093053697</v>
      </c>
      <c r="F11" s="10">
        <v>915.18730526773402</v>
      </c>
      <c r="G11" s="11">
        <v>828</v>
      </c>
    </row>
    <row r="12" spans="1:13" ht="15.75" customHeight="1">
      <c r="A12" s="4">
        <v>9</v>
      </c>
      <c r="B12" s="3" t="s">
        <v>29</v>
      </c>
      <c r="C12" s="10">
        <v>948.47682119205297</v>
      </c>
      <c r="D12" s="10">
        <v>935.34212178279995</v>
      </c>
      <c r="E12" s="10">
        <v>1008.7802562885601</v>
      </c>
      <c r="F12" s="10">
        <v>964.09940944881896</v>
      </c>
      <c r="G12" s="11">
        <v>841</v>
      </c>
    </row>
    <row r="13" spans="1:13" ht="15.75" customHeight="1">
      <c r="A13" s="4">
        <v>10</v>
      </c>
      <c r="B13" s="3" t="s">
        <v>30</v>
      </c>
      <c r="C13" s="10">
        <v>985.11953607965404</v>
      </c>
      <c r="D13" s="10">
        <v>968.46884722105403</v>
      </c>
      <c r="E13" s="10">
        <v>918.44225367042998</v>
      </c>
      <c r="F13" s="10">
        <v>928.29867053225701</v>
      </c>
      <c r="G13" s="11">
        <v>1020</v>
      </c>
    </row>
    <row r="14" spans="1:13" ht="15.75" customHeight="1">
      <c r="A14" s="4">
        <v>11</v>
      </c>
      <c r="B14" s="3" t="s">
        <v>31</v>
      </c>
      <c r="C14" s="10">
        <v>934.85628216392604</v>
      </c>
      <c r="D14" s="10">
        <v>918.49452666967295</v>
      </c>
      <c r="E14" s="10">
        <v>932.71828117857297</v>
      </c>
      <c r="F14" s="10">
        <v>919.69486302656799</v>
      </c>
      <c r="G14" s="11">
        <v>879</v>
      </c>
    </row>
    <row r="15" spans="1:13" ht="15.75" customHeight="1">
      <c r="A15" s="4">
        <v>12</v>
      </c>
      <c r="B15" s="7" t="s">
        <v>20</v>
      </c>
      <c r="C15" s="10">
        <v>943.25867076142504</v>
      </c>
      <c r="D15" s="10">
        <v>936.73068766265499</v>
      </c>
      <c r="E15" s="10">
        <v>956.56920429466902</v>
      </c>
      <c r="F15" s="10">
        <v>935.50870963142199</v>
      </c>
      <c r="G15" s="119">
        <v>875</v>
      </c>
    </row>
    <row r="16" spans="1:13" ht="17.45" customHeight="1">
      <c r="A16" s="368" t="s">
        <v>70</v>
      </c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</row>
    <row r="17" spans="1:9">
      <c r="A17" s="348" t="s">
        <v>79</v>
      </c>
      <c r="B17" s="348"/>
      <c r="C17" s="348"/>
      <c r="D17" s="348"/>
      <c r="E17" s="348"/>
      <c r="F17" s="348"/>
      <c r="G17" s="348"/>
      <c r="H17" s="348"/>
      <c r="I17" s="348"/>
    </row>
  </sheetData>
  <mergeCells count="3">
    <mergeCell ref="A1:G1"/>
    <mergeCell ref="A16:M16"/>
    <mergeCell ref="A17:I17"/>
  </mergeCells>
  <pageMargins left="1.45902777777778" right="0.69930555555555596" top="0.75" bottom="0.75" header="0.3" footer="0.3"/>
  <pageSetup paperSize="9" scale="7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K44"/>
  <sheetViews>
    <sheetView topLeftCell="A4" workbookViewId="0">
      <selection activeCell="M9" sqref="M9"/>
    </sheetView>
  </sheetViews>
  <sheetFormatPr defaultColWidth="9" defaultRowHeight="15"/>
  <cols>
    <col min="1" max="1" width="5.42578125" customWidth="1"/>
    <col min="2" max="2" width="16.42578125" customWidth="1"/>
    <col min="3" max="11" width="10.7109375" customWidth="1"/>
  </cols>
  <sheetData>
    <row r="1" spans="1:11" ht="21.6" customHeight="1">
      <c r="A1" s="374" t="s">
        <v>268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</row>
    <row r="2" spans="1:11" ht="15.75">
      <c r="A2" s="370" t="s">
        <v>0</v>
      </c>
      <c r="B2" s="372" t="s">
        <v>42</v>
      </c>
      <c r="C2" s="375" t="s">
        <v>43</v>
      </c>
      <c r="D2" s="376"/>
      <c r="E2" s="377"/>
      <c r="F2" s="375" t="s">
        <v>71</v>
      </c>
      <c r="G2" s="376"/>
      <c r="H2" s="377"/>
      <c r="I2" s="378" t="s">
        <v>72</v>
      </c>
      <c r="J2" s="379"/>
      <c r="K2" s="380"/>
    </row>
    <row r="3" spans="1:11" ht="15.75">
      <c r="A3" s="371"/>
      <c r="B3" s="373"/>
      <c r="C3" s="33" t="s">
        <v>44</v>
      </c>
      <c r="D3" s="33" t="s">
        <v>45</v>
      </c>
      <c r="E3" s="33" t="s">
        <v>46</v>
      </c>
      <c r="F3" s="33" t="s">
        <v>44</v>
      </c>
      <c r="G3" s="33" t="s">
        <v>45</v>
      </c>
      <c r="H3" s="33" t="s">
        <v>46</v>
      </c>
      <c r="I3" s="33" t="s">
        <v>44</v>
      </c>
      <c r="J3" s="33" t="s">
        <v>45</v>
      </c>
      <c r="K3" s="33" t="s">
        <v>46</v>
      </c>
    </row>
    <row r="4" spans="1:11" s="21" customFormat="1" ht="15.75">
      <c r="A4" s="34">
        <v>1</v>
      </c>
      <c r="B4" s="31">
        <v>2</v>
      </c>
      <c r="C4" s="31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5">
        <v>9</v>
      </c>
      <c r="J4" s="35">
        <v>10</v>
      </c>
      <c r="K4" s="35">
        <v>11</v>
      </c>
    </row>
    <row r="5" spans="1:11" ht="15.75">
      <c r="A5" s="38">
        <v>1</v>
      </c>
      <c r="B5" s="37" t="s">
        <v>47</v>
      </c>
      <c r="C5" s="90">
        <v>100</v>
      </c>
      <c r="D5" s="90">
        <v>100</v>
      </c>
      <c r="E5" s="90">
        <v>100</v>
      </c>
      <c r="F5" s="90">
        <v>100</v>
      </c>
      <c r="G5" s="90">
        <v>100</v>
      </c>
      <c r="H5" s="90">
        <v>100</v>
      </c>
      <c r="I5" s="90">
        <v>100</v>
      </c>
      <c r="J5" s="90">
        <v>100</v>
      </c>
      <c r="K5" s="90">
        <v>100</v>
      </c>
    </row>
    <row r="6" spans="1:11" ht="15.75">
      <c r="A6" s="36" t="s">
        <v>48</v>
      </c>
      <c r="B6" s="37" t="s">
        <v>49</v>
      </c>
      <c r="C6" s="90">
        <v>21.751860751214807</v>
      </c>
      <c r="D6" s="90">
        <v>21.659905001615186</v>
      </c>
      <c r="E6" s="90">
        <v>21.850641555879154</v>
      </c>
      <c r="F6" s="90">
        <v>22.797640699776064</v>
      </c>
      <c r="G6" s="90">
        <v>22.895576948524546</v>
      </c>
      <c r="H6" s="90">
        <v>22.693471580379555</v>
      </c>
      <c r="I6" s="90">
        <v>19.173821208268095</v>
      </c>
      <c r="J6" s="90">
        <v>18.663533627250757</v>
      </c>
      <c r="K6" s="90">
        <v>19.735530135509531</v>
      </c>
    </row>
    <row r="7" spans="1:11" ht="15.75">
      <c r="A7" s="38">
        <v>3</v>
      </c>
      <c r="B7" s="37" t="s">
        <v>50</v>
      </c>
      <c r="C7" s="90">
        <v>12.568650423401138</v>
      </c>
      <c r="D7" s="90">
        <v>12.612806922175301</v>
      </c>
      <c r="E7" s="90">
        <v>12.521216581590664</v>
      </c>
      <c r="F7" s="90">
        <v>12.86993725204897</v>
      </c>
      <c r="G7" s="90">
        <v>13.047781306514931</v>
      </c>
      <c r="H7" s="90">
        <v>12.680774824649886</v>
      </c>
      <c r="I7" s="90">
        <v>11.825923084737095</v>
      </c>
      <c r="J7" s="90">
        <v>11.558040892180882</v>
      </c>
      <c r="K7" s="90">
        <v>12.120799590859086</v>
      </c>
    </row>
    <row r="8" spans="1:11" ht="15.75">
      <c r="A8" s="38">
        <v>4</v>
      </c>
      <c r="B8" s="37" t="s">
        <v>51</v>
      </c>
      <c r="C8" s="90">
        <v>11.605851295576148</v>
      </c>
      <c r="D8" s="90">
        <v>11.515553130877013</v>
      </c>
      <c r="E8" s="90">
        <v>11.702851487598194</v>
      </c>
      <c r="F8" s="90">
        <v>11.504217298882587</v>
      </c>
      <c r="G8" s="90">
        <v>11.490312513784129</v>
      </c>
      <c r="H8" s="90">
        <v>11.519007014004551</v>
      </c>
      <c r="I8" s="90">
        <v>11.856397753981849</v>
      </c>
      <c r="J8" s="90">
        <v>11.576758908605942</v>
      </c>
      <c r="K8" s="90">
        <v>12.16421562314884</v>
      </c>
    </row>
    <row r="9" spans="1:11" ht="15.75">
      <c r="A9" s="38">
        <v>5</v>
      </c>
      <c r="B9" s="37" t="s">
        <v>52</v>
      </c>
      <c r="C9" s="90">
        <v>10.329178337954675</v>
      </c>
      <c r="D9" s="90">
        <v>10.127272851483776</v>
      </c>
      <c r="E9" s="90">
        <v>10.546069467727207</v>
      </c>
      <c r="F9" s="90">
        <v>9.9166912959952711</v>
      </c>
      <c r="G9" s="90">
        <v>9.7790128357813941</v>
      </c>
      <c r="H9" s="90">
        <v>10.063131905510334</v>
      </c>
      <c r="I9" s="90">
        <v>11.346034615020859</v>
      </c>
      <c r="J9" s="90">
        <v>10.971765877724557</v>
      </c>
      <c r="K9" s="90">
        <v>11.758018168505716</v>
      </c>
    </row>
    <row r="10" spans="1:11" ht="15.75">
      <c r="A10" s="38">
        <v>6</v>
      </c>
      <c r="B10" s="37" t="s">
        <v>53</v>
      </c>
      <c r="C10" s="90">
        <v>8.9411585128546758</v>
      </c>
      <c r="D10" s="90">
        <v>8.7442626694604684</v>
      </c>
      <c r="E10" s="90">
        <v>9.1526681784300088</v>
      </c>
      <c r="F10" s="90">
        <v>8.3217054483863997</v>
      </c>
      <c r="G10" s="90">
        <v>8.0758457941864048</v>
      </c>
      <c r="H10" s="90">
        <v>8.583212132585798</v>
      </c>
      <c r="I10" s="90">
        <v>10.468224027350139</v>
      </c>
      <c r="J10" s="90">
        <v>10.36510159537665</v>
      </c>
      <c r="K10" s="90">
        <v>10.581738039435002</v>
      </c>
    </row>
    <row r="11" spans="1:11" ht="15.75">
      <c r="A11" s="38">
        <v>7</v>
      </c>
      <c r="B11" s="37" t="s">
        <v>54</v>
      </c>
      <c r="C11" s="90">
        <v>7.5776521833184907</v>
      </c>
      <c r="D11" s="90">
        <v>7.4664592460442556</v>
      </c>
      <c r="E11" s="90">
        <v>7.6970979805064301</v>
      </c>
      <c r="F11" s="90">
        <v>7.1395687215104982</v>
      </c>
      <c r="G11" s="90">
        <v>6.9998566450531516</v>
      </c>
      <c r="H11" s="90">
        <v>7.2881723709212043</v>
      </c>
      <c r="I11" s="90">
        <v>8.6576083339463299</v>
      </c>
      <c r="J11" s="90">
        <v>8.5979202946750579</v>
      </c>
      <c r="K11" s="90">
        <v>8.7233110979473043</v>
      </c>
    </row>
    <row r="12" spans="1:11" ht="15.75">
      <c r="A12" s="38">
        <v>8</v>
      </c>
      <c r="B12" s="37" t="s">
        <v>55</v>
      </c>
      <c r="C12" s="90">
        <v>6.479548668639203</v>
      </c>
      <c r="D12" s="90">
        <v>6.3138694323617157</v>
      </c>
      <c r="E12" s="90">
        <v>6.657524796797829</v>
      </c>
      <c r="F12" s="90">
        <v>6.193092041695559</v>
      </c>
      <c r="G12" s="90">
        <v>5.9364110537691328</v>
      </c>
      <c r="H12" s="90">
        <v>6.4661087522578526</v>
      </c>
      <c r="I12" s="90">
        <v>7.1857168377801832</v>
      </c>
      <c r="J12" s="90">
        <v>7.2291653435925891</v>
      </c>
      <c r="K12" s="90">
        <v>7.1378900544172135</v>
      </c>
    </row>
    <row r="13" spans="1:11" ht="15.75">
      <c r="A13" s="38">
        <v>9</v>
      </c>
      <c r="B13" s="37" t="s">
        <v>56</v>
      </c>
      <c r="C13" s="90">
        <v>5.5224103892743095</v>
      </c>
      <c r="D13" s="90">
        <v>5.6266096975647271</v>
      </c>
      <c r="E13" s="90">
        <v>5.4104772957677962</v>
      </c>
      <c r="F13" s="90">
        <v>5.4015669936683679</v>
      </c>
      <c r="G13" s="90">
        <v>5.4048950200696924</v>
      </c>
      <c r="H13" s="90">
        <v>5.3980271646062539</v>
      </c>
      <c r="I13" s="90">
        <v>5.820311542193406</v>
      </c>
      <c r="J13" s="90">
        <v>6.1642439091240302</v>
      </c>
      <c r="K13" s="90">
        <v>5.4417213353005458</v>
      </c>
    </row>
    <row r="14" spans="1:11" ht="15.75">
      <c r="A14" s="38">
        <v>10</v>
      </c>
      <c r="B14" s="37" t="s">
        <v>57</v>
      </c>
      <c r="C14" s="90">
        <v>4.4350220520373496</v>
      </c>
      <c r="D14" s="90">
        <v>4.6608155573274361</v>
      </c>
      <c r="E14" s="90">
        <v>4.1924699088853314</v>
      </c>
      <c r="F14" s="90">
        <v>4.3583254708938171</v>
      </c>
      <c r="G14" s="90">
        <v>4.4996912354990961</v>
      </c>
      <c r="H14" s="90">
        <v>4.2079628891130447</v>
      </c>
      <c r="I14" s="90">
        <v>4.624093203448191</v>
      </c>
      <c r="J14" s="90">
        <v>5.051524682712909</v>
      </c>
      <c r="K14" s="90">
        <v>4.1535897332121605</v>
      </c>
    </row>
    <row r="15" spans="1:11" ht="15.75" customHeight="1">
      <c r="A15" s="38">
        <v>11</v>
      </c>
      <c r="B15" s="37" t="s">
        <v>58</v>
      </c>
      <c r="C15" s="90">
        <v>3.3287305244068492</v>
      </c>
      <c r="D15" s="90">
        <v>3.5264758956481681</v>
      </c>
      <c r="E15" s="90">
        <v>3.1163082781099392</v>
      </c>
      <c r="F15" s="90">
        <v>3.3759704902752041</v>
      </c>
      <c r="G15" s="90">
        <v>3.4978607031008777</v>
      </c>
      <c r="H15" s="90">
        <v>3.2463229257078514</v>
      </c>
      <c r="I15" s="90">
        <v>3.2122753368852086</v>
      </c>
      <c r="J15" s="90">
        <v>3.5958646553712352</v>
      </c>
      <c r="K15" s="90">
        <v>2.7900319733322543</v>
      </c>
    </row>
    <row r="16" spans="1:11" ht="15.75">
      <c r="A16" s="38">
        <v>12</v>
      </c>
      <c r="B16" s="37" t="s">
        <v>59</v>
      </c>
      <c r="C16" s="90">
        <v>2.1934776917081713</v>
      </c>
      <c r="D16" s="90">
        <v>2.3169885492495479</v>
      </c>
      <c r="E16" s="90">
        <v>2.0607997249052001</v>
      </c>
      <c r="F16" s="90">
        <v>2.255785997658319</v>
      </c>
      <c r="G16" s="90">
        <v>2.329242203696352</v>
      </c>
      <c r="H16" s="90">
        <v>2.177654882826245</v>
      </c>
      <c r="I16" s="90">
        <v>2.0398762798485373</v>
      </c>
      <c r="J16" s="90">
        <v>2.2872747570835994</v>
      </c>
      <c r="K16" s="90">
        <v>1.76754761966084</v>
      </c>
    </row>
    <row r="17" spans="1:11" ht="15.75">
      <c r="A17" s="38">
        <v>13</v>
      </c>
      <c r="B17" s="37" t="s">
        <v>60</v>
      </c>
      <c r="C17" s="90">
        <v>1.8457904010205701</v>
      </c>
      <c r="D17" s="90">
        <v>1.9209504913389854</v>
      </c>
      <c r="E17" s="90">
        <v>1.7650518476117389</v>
      </c>
      <c r="F17" s="90">
        <v>2.0035721999295224</v>
      </c>
      <c r="G17" s="90">
        <v>2.0535596136032819</v>
      </c>
      <c r="H17" s="90">
        <v>1.9504034811982454</v>
      </c>
      <c r="I17" s="90">
        <v>1.4568293033210384</v>
      </c>
      <c r="J17" s="90">
        <v>1.5993876534626659</v>
      </c>
      <c r="K17" s="90">
        <v>1.2999054413534028</v>
      </c>
    </row>
    <row r="18" spans="1:11" ht="15.75">
      <c r="A18" s="38">
        <v>14</v>
      </c>
      <c r="B18" s="37" t="s">
        <v>61</v>
      </c>
      <c r="C18" s="90">
        <v>1.2253209751620164</v>
      </c>
      <c r="D18" s="90">
        <v>1.2493058598603033</v>
      </c>
      <c r="E18" s="90">
        <v>1.1995559064132524</v>
      </c>
      <c r="F18" s="90">
        <v>1.3455428493480805</v>
      </c>
      <c r="G18" s="90">
        <v>1.3687640598120947</v>
      </c>
      <c r="H18" s="90">
        <v>1.3208437917849352</v>
      </c>
      <c r="I18" s="90">
        <v>0.92895198663317957</v>
      </c>
      <c r="J18" s="90">
        <v>0.95963259207759954</v>
      </c>
      <c r="K18" s="90">
        <v>0.89517971661840623</v>
      </c>
    </row>
    <row r="19" spans="1:11" ht="15.75">
      <c r="A19" s="38">
        <v>15</v>
      </c>
      <c r="B19" s="37" t="s">
        <v>62</v>
      </c>
      <c r="C19" s="90">
        <v>0.88920809784372212</v>
      </c>
      <c r="D19" s="90">
        <v>0.90372410454702046</v>
      </c>
      <c r="E19" s="90">
        <v>0.87361469744289744</v>
      </c>
      <c r="F19" s="90">
        <v>1.0197252503665981</v>
      </c>
      <c r="G19" s="90">
        <v>1.040701777601341</v>
      </c>
      <c r="H19" s="90">
        <v>0.99741373243566589</v>
      </c>
      <c r="I19" s="90">
        <v>0.56745935835058481</v>
      </c>
      <c r="J19" s="90">
        <v>0.57156800155092136</v>
      </c>
      <c r="K19" s="90">
        <v>0.56293668985867718</v>
      </c>
    </row>
    <row r="20" spans="1:11" ht="15.75">
      <c r="A20" s="38">
        <v>16</v>
      </c>
      <c r="B20" s="37" t="s">
        <v>63</v>
      </c>
      <c r="C20" s="90">
        <v>0.53398985697259849</v>
      </c>
      <c r="D20" s="90">
        <v>0.54994441999162635</v>
      </c>
      <c r="E20" s="90">
        <v>0.51685112905238018</v>
      </c>
      <c r="F20" s="90">
        <v>0.6130571438314899</v>
      </c>
      <c r="G20" s="90">
        <v>0.63489700498434121</v>
      </c>
      <c r="H20" s="90">
        <v>0.58982734758028577</v>
      </c>
      <c r="I20" s="90">
        <v>0.33907448079220126</v>
      </c>
      <c r="J20" s="90">
        <v>0.34394355181046671</v>
      </c>
      <c r="K20" s="90">
        <v>0.33371475666785633</v>
      </c>
    </row>
    <row r="21" spans="1:11" ht="15.75">
      <c r="A21" s="38">
        <v>17</v>
      </c>
      <c r="B21" s="37" t="s">
        <v>64</v>
      </c>
      <c r="C21" s="90">
        <v>0.69780065928667245</v>
      </c>
      <c r="D21" s="90">
        <v>0.72219852847170107</v>
      </c>
      <c r="E21" s="90">
        <v>0.67159195389645998</v>
      </c>
      <c r="F21" s="90">
        <v>0.79308806311170732</v>
      </c>
      <c r="G21" s="90">
        <v>0.84469145604516782</v>
      </c>
      <c r="H21" s="90">
        <v>0.7382005207722443</v>
      </c>
      <c r="I21" s="90">
        <v>0.46289971732117147</v>
      </c>
      <c r="J21" s="90">
        <v>0.42516637308349237</v>
      </c>
      <c r="K21" s="90">
        <v>0.50443542601061853</v>
      </c>
    </row>
    <row r="22" spans="1:11" ht="15.75">
      <c r="A22" s="38">
        <v>18</v>
      </c>
      <c r="B22" s="37" t="s">
        <v>65</v>
      </c>
      <c r="C22" s="90">
        <v>7.434917932860316E-2</v>
      </c>
      <c r="D22" s="90">
        <v>8.285764198276678E-2</v>
      </c>
      <c r="E22" s="90">
        <v>6.5209209385513278E-2</v>
      </c>
      <c r="F22" s="90">
        <v>9.0512782621545732E-2</v>
      </c>
      <c r="G22" s="90">
        <v>0.10089982797406379</v>
      </c>
      <c r="H22" s="90">
        <v>7.9464683666048933E-2</v>
      </c>
      <c r="I22" s="90">
        <v>3.4502930121933707E-2</v>
      </c>
      <c r="J22" s="90">
        <v>3.910728431664199E-2</v>
      </c>
      <c r="K22" s="90">
        <v>2.9434598162545209E-2</v>
      </c>
    </row>
    <row r="23" spans="1:11" ht="15.75">
      <c r="A23" s="38">
        <v>19</v>
      </c>
      <c r="B23" s="37" t="s">
        <v>66</v>
      </c>
      <c r="C23" s="90">
        <v>41.46106498755119</v>
      </c>
      <c r="D23" s="90">
        <v>41.373192185811924</v>
      </c>
      <c r="E23" s="90">
        <v>41.555459803554633</v>
      </c>
      <c r="F23" s="90">
        <v>42.783914585488397</v>
      </c>
      <c r="G23" s="90">
        <v>43.080366988663933</v>
      </c>
      <c r="H23" s="90">
        <v>42.468595322433089</v>
      </c>
      <c r="I23" s="90">
        <v>38.199997898298676</v>
      </c>
      <c r="J23" s="90">
        <v>37.233477172376219</v>
      </c>
      <c r="K23" s="90">
        <v>39.263914286450152</v>
      </c>
    </row>
    <row r="24" spans="1:11" ht="15.75">
      <c r="A24" s="38">
        <v>20</v>
      </c>
      <c r="B24" s="37" t="s">
        <v>67</v>
      </c>
      <c r="C24" s="90">
        <v>48.427699340207894</v>
      </c>
      <c r="D24" s="90">
        <v>48.236420471790829</v>
      </c>
      <c r="E24" s="90">
        <v>48.633175132855904</v>
      </c>
      <c r="F24" s="90">
        <v>49.686970706255472</v>
      </c>
      <c r="G24" s="90">
        <v>49.428645992164959</v>
      </c>
      <c r="H24" s="90">
        <v>49.428645992164959</v>
      </c>
      <c r="I24" s="90">
        <v>45.323364263371197</v>
      </c>
      <c r="J24" s="90">
        <v>44.130063474130701</v>
      </c>
      <c r="K24" s="90">
        <v>46.636913193690695</v>
      </c>
    </row>
    <row r="25" spans="1:11" ht="15.75">
      <c r="A25" s="369" t="s">
        <v>79</v>
      </c>
      <c r="B25" s="369"/>
      <c r="C25" s="369"/>
      <c r="D25" s="369"/>
      <c r="E25" s="369"/>
      <c r="F25" s="369"/>
      <c r="G25" s="369"/>
      <c r="H25" s="369"/>
      <c r="I25" s="369"/>
      <c r="J25" s="369"/>
      <c r="K25" s="369"/>
    </row>
    <row r="27" spans="1:11" ht="15.75">
      <c r="B27" s="101"/>
      <c r="C27" s="105"/>
      <c r="D27" s="105"/>
      <c r="E27" s="101"/>
      <c r="F27" s="101"/>
    </row>
    <row r="28" spans="1:11" ht="15.75">
      <c r="B28" s="101"/>
      <c r="C28" s="106"/>
      <c r="D28" s="106"/>
      <c r="E28" s="101"/>
      <c r="F28" s="101"/>
    </row>
    <row r="29" spans="1:11" ht="15.75">
      <c r="B29" s="101"/>
      <c r="C29" s="106"/>
      <c r="D29" s="106"/>
      <c r="E29" s="101"/>
      <c r="F29" s="101"/>
    </row>
    <row r="30" spans="1:11" ht="15.75">
      <c r="B30" s="101"/>
      <c r="C30" s="106"/>
      <c r="D30" s="106"/>
      <c r="E30" s="101"/>
      <c r="F30" s="101"/>
    </row>
    <row r="31" spans="1:11" ht="15.75">
      <c r="B31" s="101"/>
      <c r="C31" s="106"/>
      <c r="D31" s="106"/>
      <c r="E31" s="101"/>
      <c r="F31" s="101"/>
    </row>
    <row r="32" spans="1:11" ht="15.75">
      <c r="B32" s="101"/>
      <c r="C32" s="106"/>
      <c r="D32" s="106"/>
      <c r="E32" s="101"/>
      <c r="F32" s="101"/>
    </row>
    <row r="33" spans="2:6" ht="15.75">
      <c r="B33" s="101"/>
      <c r="C33" s="106"/>
      <c r="D33" s="106"/>
      <c r="E33" s="101"/>
      <c r="F33" s="101"/>
    </row>
    <row r="34" spans="2:6" ht="15.75">
      <c r="B34" s="101"/>
      <c r="C34" s="106"/>
      <c r="D34" s="106"/>
      <c r="E34" s="101"/>
      <c r="F34" s="101"/>
    </row>
    <row r="35" spans="2:6" ht="15.75">
      <c r="B35" s="101"/>
      <c r="C35" s="106"/>
      <c r="D35" s="106"/>
      <c r="E35" s="101"/>
      <c r="F35" s="101"/>
    </row>
    <row r="36" spans="2:6" ht="15.75">
      <c r="B36" s="101"/>
      <c r="C36" s="106"/>
      <c r="D36" s="106"/>
      <c r="E36" s="101"/>
      <c r="F36" s="101"/>
    </row>
    <row r="37" spans="2:6" ht="15.75">
      <c r="B37" s="101"/>
      <c r="C37" s="106"/>
      <c r="D37" s="106"/>
      <c r="E37" s="101"/>
      <c r="F37" s="101"/>
    </row>
    <row r="38" spans="2:6" ht="15.75">
      <c r="B38" s="101"/>
      <c r="C38" s="106"/>
      <c r="D38" s="106"/>
      <c r="E38" s="101"/>
      <c r="F38" s="101"/>
    </row>
    <row r="39" spans="2:6" ht="15.75">
      <c r="B39" s="101"/>
      <c r="C39" s="106"/>
      <c r="D39" s="106"/>
      <c r="E39" s="101"/>
      <c r="F39" s="101"/>
    </row>
    <row r="40" spans="2:6" ht="15.75">
      <c r="B40" s="101"/>
      <c r="C40" s="106"/>
      <c r="D40" s="106"/>
      <c r="E40" s="101"/>
      <c r="F40" s="101"/>
    </row>
    <row r="41" spans="2:6" ht="15.75">
      <c r="B41" s="101"/>
      <c r="C41" s="106"/>
      <c r="D41" s="106"/>
      <c r="E41" s="101"/>
      <c r="F41" s="101"/>
    </row>
    <row r="42" spans="2:6" ht="15.75">
      <c r="B42" s="101"/>
      <c r="C42" s="106"/>
      <c r="D42" s="106"/>
      <c r="E42" s="101"/>
      <c r="F42" s="101"/>
    </row>
    <row r="43" spans="2:6" ht="15.75">
      <c r="B43" s="101"/>
      <c r="C43" s="106"/>
      <c r="D43" s="106"/>
      <c r="E43" s="101"/>
      <c r="F43" s="101"/>
    </row>
    <row r="44" spans="2:6">
      <c r="B44" s="101"/>
    </row>
  </sheetData>
  <mergeCells count="7">
    <mergeCell ref="A25:K25"/>
    <mergeCell ref="A2:A3"/>
    <mergeCell ref="B2:B3"/>
    <mergeCell ref="A1:K1"/>
    <mergeCell ref="C2:E2"/>
    <mergeCell ref="F2:H2"/>
    <mergeCell ref="I2:K2"/>
  </mergeCells>
  <pageMargins left="1.16875" right="0.69930555555555596" top="0.75" bottom="0.75" header="0.3" footer="0.3"/>
  <pageSetup paperSize="9" scale="68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K32"/>
  <sheetViews>
    <sheetView tabSelected="1" workbookViewId="0">
      <selection activeCell="J11" sqref="J11"/>
    </sheetView>
  </sheetViews>
  <sheetFormatPr defaultColWidth="9" defaultRowHeight="15"/>
  <cols>
    <col min="1" max="1" width="8.5703125" customWidth="1"/>
    <col min="2" max="2" width="18.5703125" customWidth="1"/>
    <col min="3" max="8" width="13.7109375" customWidth="1"/>
  </cols>
  <sheetData>
    <row r="1" spans="1:8" ht="32.450000000000003" customHeight="1">
      <c r="A1" s="381" t="s">
        <v>269</v>
      </c>
      <c r="B1" s="382"/>
      <c r="C1" s="382"/>
      <c r="D1" s="382"/>
      <c r="E1" s="382"/>
      <c r="F1" s="382"/>
      <c r="G1" s="382"/>
      <c r="H1" s="382"/>
    </row>
    <row r="2" spans="1:8" ht="15.75" customHeight="1">
      <c r="A2" s="386" t="s">
        <v>42</v>
      </c>
      <c r="B2" s="387"/>
      <c r="C2" s="383" t="s">
        <v>45</v>
      </c>
      <c r="D2" s="384"/>
      <c r="E2" s="385"/>
      <c r="F2" s="383" t="s">
        <v>46</v>
      </c>
      <c r="G2" s="384"/>
      <c r="H2" s="384"/>
    </row>
    <row r="3" spans="1:8" ht="14.45" customHeight="1">
      <c r="A3" s="388"/>
      <c r="B3" s="389"/>
      <c r="C3" s="83"/>
      <c r="D3" s="83"/>
      <c r="E3" s="83"/>
      <c r="F3" s="83"/>
      <c r="G3" s="83"/>
      <c r="H3" s="83"/>
    </row>
    <row r="4" spans="1:8" ht="50.25" customHeight="1">
      <c r="A4" s="390"/>
      <c r="B4" s="391"/>
      <c r="C4" s="84" t="s">
        <v>73</v>
      </c>
      <c r="D4" s="84" t="s">
        <v>74</v>
      </c>
      <c r="E4" s="84" t="s">
        <v>75</v>
      </c>
      <c r="F4" s="84" t="s">
        <v>73</v>
      </c>
      <c r="G4" s="84" t="s">
        <v>74</v>
      </c>
      <c r="H4" s="84" t="s">
        <v>75</v>
      </c>
    </row>
    <row r="5" spans="1:8" s="22" customFormat="1" ht="15.75">
      <c r="A5" s="85">
        <v>1</v>
      </c>
      <c r="B5" s="86">
        <v>2</v>
      </c>
      <c r="C5" s="86">
        <v>3</v>
      </c>
      <c r="D5" s="86">
        <v>4</v>
      </c>
      <c r="E5" s="86">
        <v>5</v>
      </c>
      <c r="F5" s="86">
        <v>6</v>
      </c>
      <c r="G5" s="86">
        <v>7</v>
      </c>
      <c r="H5" s="86">
        <v>8</v>
      </c>
    </row>
    <row r="6" spans="1:8" ht="15.75">
      <c r="A6" s="392" t="s">
        <v>19</v>
      </c>
      <c r="B6" s="87" t="s">
        <v>47</v>
      </c>
      <c r="C6" s="89">
        <v>100</v>
      </c>
      <c r="D6" s="89">
        <v>100</v>
      </c>
      <c r="E6" s="89">
        <v>100</v>
      </c>
      <c r="F6" s="89">
        <v>100</v>
      </c>
      <c r="G6" s="89">
        <v>100</v>
      </c>
      <c r="H6" s="89">
        <v>100</v>
      </c>
    </row>
    <row r="7" spans="1:8" ht="15.75">
      <c r="A7" s="393"/>
      <c r="B7" s="88" t="s">
        <v>76</v>
      </c>
      <c r="C7" s="90">
        <v>54.79</v>
      </c>
      <c r="D7" s="90">
        <v>0.24</v>
      </c>
      <c r="E7" s="90">
        <v>0.47</v>
      </c>
      <c r="F7" s="90">
        <v>58.94</v>
      </c>
      <c r="G7" s="90">
        <v>0.5</v>
      </c>
      <c r="H7" s="90">
        <v>0.26</v>
      </c>
    </row>
    <row r="8" spans="1:8" ht="15.75">
      <c r="A8" s="393"/>
      <c r="B8" s="88" t="s">
        <v>68</v>
      </c>
      <c r="C8" s="90">
        <v>38.979999999999997</v>
      </c>
      <c r="D8" s="90">
        <v>16.47</v>
      </c>
      <c r="E8" s="90">
        <v>8.89</v>
      </c>
      <c r="F8" s="90">
        <v>35.549999999999997</v>
      </c>
      <c r="G8" s="90">
        <v>28.18</v>
      </c>
      <c r="H8" s="90">
        <v>7.45</v>
      </c>
    </row>
    <row r="9" spans="1:8" ht="15.75">
      <c r="A9" s="393"/>
      <c r="B9" s="88" t="s">
        <v>77</v>
      </c>
      <c r="C9" s="90">
        <v>5.66</v>
      </c>
      <c r="D9" s="90">
        <v>70.94</v>
      </c>
      <c r="E9" s="90">
        <v>61.03</v>
      </c>
      <c r="F9" s="90">
        <v>4.9000000000000004</v>
      </c>
      <c r="G9" s="90">
        <v>63.98</v>
      </c>
      <c r="H9" s="90">
        <v>52.34</v>
      </c>
    </row>
    <row r="10" spans="1:8" ht="15.75">
      <c r="A10" s="393"/>
      <c r="B10" s="88" t="s">
        <v>69</v>
      </c>
      <c r="C10" s="90">
        <v>0.47</v>
      </c>
      <c r="D10" s="90">
        <v>12.29</v>
      </c>
      <c r="E10" s="90">
        <v>38.369999999999997</v>
      </c>
      <c r="F10" s="90">
        <v>0.53</v>
      </c>
      <c r="G10" s="90">
        <v>7.29</v>
      </c>
      <c r="H10" s="90">
        <v>39.89</v>
      </c>
    </row>
    <row r="11" spans="1:8" ht="15.75">
      <c r="A11" s="393"/>
      <c r="B11" s="88" t="s">
        <v>65</v>
      </c>
      <c r="C11" s="90">
        <v>0.1</v>
      </c>
      <c r="D11" s="90">
        <v>0.05</v>
      </c>
      <c r="E11" s="90">
        <v>0.13</v>
      </c>
      <c r="F11" s="90">
        <v>0.08</v>
      </c>
      <c r="G11" s="90">
        <v>0.05</v>
      </c>
      <c r="H11" s="90">
        <v>0.06</v>
      </c>
    </row>
    <row r="12" spans="1:8" ht="15.75">
      <c r="A12" s="393"/>
      <c r="B12" s="88" t="s">
        <v>66</v>
      </c>
      <c r="C12" s="90">
        <v>65.98</v>
      </c>
      <c r="D12" s="90">
        <v>0.56000000000000005</v>
      </c>
      <c r="E12" s="90">
        <v>0.87</v>
      </c>
      <c r="F12" s="90">
        <v>70.5</v>
      </c>
      <c r="G12" s="90">
        <v>1.78</v>
      </c>
      <c r="H12" s="90">
        <v>0.44</v>
      </c>
    </row>
    <row r="13" spans="1:8" ht="15.75">
      <c r="A13" s="394"/>
      <c r="B13" s="88" t="s">
        <v>67</v>
      </c>
      <c r="C13" s="90">
        <v>76.33</v>
      </c>
      <c r="D13" s="90">
        <v>1.65</v>
      </c>
      <c r="E13" s="90">
        <v>1.66</v>
      </c>
      <c r="F13" s="90">
        <v>80.400000000000006</v>
      </c>
      <c r="G13" s="90">
        <v>5.29</v>
      </c>
      <c r="H13" s="90">
        <v>1.24</v>
      </c>
    </row>
    <row r="14" spans="1:8" s="20" customFormat="1" ht="15.75">
      <c r="A14" s="32"/>
      <c r="B14" s="88"/>
      <c r="C14" s="90"/>
      <c r="D14" s="90"/>
      <c r="E14" s="90"/>
      <c r="F14" s="91"/>
      <c r="G14" s="90"/>
      <c r="H14" s="90"/>
    </row>
    <row r="15" spans="1:8" ht="15.75">
      <c r="A15" s="392" t="s">
        <v>17</v>
      </c>
      <c r="B15" s="87" t="s">
        <v>47</v>
      </c>
      <c r="C15" s="89">
        <v>100</v>
      </c>
      <c r="D15" s="89">
        <v>100</v>
      </c>
      <c r="E15" s="89">
        <v>100</v>
      </c>
      <c r="F15" s="89">
        <v>100</v>
      </c>
      <c r="G15" s="89">
        <v>100</v>
      </c>
      <c r="H15" s="89">
        <v>100</v>
      </c>
    </row>
    <row r="16" spans="1:8" ht="15.75">
      <c r="A16" s="393"/>
      <c r="B16" s="88" t="s">
        <v>78</v>
      </c>
      <c r="C16" s="90">
        <v>56.7</v>
      </c>
      <c r="D16" s="90">
        <v>0.24</v>
      </c>
      <c r="E16" s="90">
        <v>0.45</v>
      </c>
      <c r="F16" s="90">
        <v>60.46</v>
      </c>
      <c r="G16" s="90">
        <v>0.49</v>
      </c>
      <c r="H16" s="90">
        <v>0.27</v>
      </c>
    </row>
    <row r="17" spans="1:11" ht="15.75">
      <c r="A17" s="393"/>
      <c r="B17" s="88" t="s">
        <v>68</v>
      </c>
      <c r="C17" s="90">
        <v>37.26</v>
      </c>
      <c r="D17" s="90">
        <v>16.11</v>
      </c>
      <c r="E17" s="90">
        <v>8.52</v>
      </c>
      <c r="F17" s="90">
        <v>34.17</v>
      </c>
      <c r="G17" s="90">
        <v>26.93</v>
      </c>
      <c r="H17" s="90">
        <v>7.82</v>
      </c>
    </row>
    <row r="18" spans="1:11" ht="15.75">
      <c r="A18" s="393"/>
      <c r="B18" s="88" t="s">
        <v>77</v>
      </c>
      <c r="C18" s="90">
        <v>5.44</v>
      </c>
      <c r="D18" s="90">
        <v>69.59</v>
      </c>
      <c r="E18" s="90">
        <v>49.69</v>
      </c>
      <c r="F18" s="90">
        <v>4.72</v>
      </c>
      <c r="G18" s="90">
        <v>64.12</v>
      </c>
      <c r="H18" s="90">
        <v>48.93</v>
      </c>
    </row>
    <row r="19" spans="1:11" ht="15.75">
      <c r="A19" s="393"/>
      <c r="B19" s="88" t="s">
        <v>69</v>
      </c>
      <c r="C19" s="90">
        <v>0.49</v>
      </c>
      <c r="D19" s="90">
        <v>14</v>
      </c>
      <c r="E19" s="90">
        <v>41.19</v>
      </c>
      <c r="F19" s="90">
        <v>0.55000000000000004</v>
      </c>
      <c r="G19" s="90">
        <v>8.4</v>
      </c>
      <c r="H19" s="90">
        <v>42.92</v>
      </c>
    </row>
    <row r="20" spans="1:11" ht="15.75">
      <c r="A20" s="393"/>
      <c r="B20" s="88" t="s">
        <v>65</v>
      </c>
      <c r="C20" s="90">
        <v>0.12</v>
      </c>
      <c r="D20" s="90">
        <v>0.06</v>
      </c>
      <c r="E20" s="90">
        <v>0.14000000000000001</v>
      </c>
      <c r="F20" s="90">
        <v>0.09</v>
      </c>
      <c r="G20" s="90">
        <v>0.06</v>
      </c>
      <c r="H20" s="90">
        <v>7.0000000000000007E-2</v>
      </c>
    </row>
    <row r="21" spans="1:11" ht="15.75">
      <c r="A21" s="393"/>
      <c r="B21" s="88" t="s">
        <v>66</v>
      </c>
      <c r="C21" s="90">
        <v>67.790000000000006</v>
      </c>
      <c r="D21" s="90">
        <v>0.57999999999999996</v>
      </c>
      <c r="E21" s="90">
        <v>0.8</v>
      </c>
      <c r="F21" s="90">
        <v>71.83</v>
      </c>
      <c r="G21" s="90">
        <v>1.77</v>
      </c>
      <c r="H21" s="90">
        <v>0.52</v>
      </c>
    </row>
    <row r="22" spans="1:11" ht="15.75">
      <c r="A22" s="394"/>
      <c r="B22" s="88" t="s">
        <v>67</v>
      </c>
      <c r="C22" s="90">
        <v>77.95</v>
      </c>
      <c r="D22" s="90">
        <v>1.76</v>
      </c>
      <c r="E22" s="90">
        <v>1.57</v>
      </c>
      <c r="F22" s="90">
        <v>81.510000000000005</v>
      </c>
      <c r="G22" s="90">
        <v>5.27</v>
      </c>
      <c r="H22" s="90">
        <v>1.35</v>
      </c>
    </row>
    <row r="23" spans="1:11" s="20" customFormat="1" ht="15.75">
      <c r="A23" s="32"/>
      <c r="B23" s="88"/>
      <c r="C23" s="90"/>
      <c r="D23" s="90"/>
      <c r="E23" s="90"/>
      <c r="F23" s="91"/>
      <c r="G23" s="90"/>
      <c r="H23" s="90"/>
    </row>
    <row r="24" spans="1:11" ht="15.75">
      <c r="A24" s="392" t="s">
        <v>18</v>
      </c>
      <c r="B24" s="87" t="s">
        <v>47</v>
      </c>
      <c r="C24" s="89">
        <v>100</v>
      </c>
      <c r="D24" s="89">
        <v>100</v>
      </c>
      <c r="E24" s="89">
        <v>100</v>
      </c>
      <c r="F24" s="89">
        <v>100</v>
      </c>
      <c r="G24" s="89">
        <v>100</v>
      </c>
      <c r="H24" s="89">
        <v>100</v>
      </c>
    </row>
    <row r="25" spans="1:11" ht="15.75">
      <c r="A25" s="393"/>
      <c r="B25" s="88" t="s">
        <v>78</v>
      </c>
      <c r="C25" s="90">
        <v>49.96</v>
      </c>
      <c r="D25" s="90">
        <v>0.23</v>
      </c>
      <c r="E25" s="90">
        <v>0.52</v>
      </c>
      <c r="F25" s="90">
        <v>55.08</v>
      </c>
      <c r="G25" s="90">
        <v>0.52</v>
      </c>
      <c r="H25" s="90">
        <v>0.26</v>
      </c>
    </row>
    <row r="26" spans="1:11" ht="15.75">
      <c r="A26" s="393"/>
      <c r="B26" s="88" t="s">
        <v>68</v>
      </c>
      <c r="C26" s="90">
        <v>43.35</v>
      </c>
      <c r="D26" s="90">
        <v>17.28</v>
      </c>
      <c r="E26" s="90">
        <v>10.11</v>
      </c>
      <c r="F26" s="90">
        <v>39.07</v>
      </c>
      <c r="G26" s="90">
        <v>31.27</v>
      </c>
      <c r="H26" s="90">
        <v>6.51</v>
      </c>
    </row>
    <row r="27" spans="1:11" ht="15.75">
      <c r="A27" s="393"/>
      <c r="B27" s="88" t="s">
        <v>77</v>
      </c>
      <c r="C27" s="90">
        <v>6.23</v>
      </c>
      <c r="D27" s="90">
        <v>73.930000000000007</v>
      </c>
      <c r="E27" s="90">
        <v>60.46</v>
      </c>
      <c r="F27" s="90">
        <v>5.35</v>
      </c>
      <c r="G27" s="90">
        <v>63.64</v>
      </c>
      <c r="H27" s="90">
        <v>61.04</v>
      </c>
    </row>
    <row r="28" spans="1:11" ht="15.75">
      <c r="A28" s="393"/>
      <c r="B28" s="88" t="s">
        <v>69</v>
      </c>
      <c r="C28" s="90">
        <v>0.42</v>
      </c>
      <c r="D28" s="90">
        <v>8.5399999999999991</v>
      </c>
      <c r="E28" s="90">
        <v>28.8</v>
      </c>
      <c r="F28" s="90">
        <v>0.47</v>
      </c>
      <c r="G28" s="90">
        <v>4.5599999999999996</v>
      </c>
      <c r="H28" s="90">
        <v>32.15</v>
      </c>
    </row>
    <row r="29" spans="1:11" ht="15.75">
      <c r="A29" s="393"/>
      <c r="B29" s="88" t="s">
        <v>65</v>
      </c>
      <c r="C29" s="90">
        <v>0.05</v>
      </c>
      <c r="D29" s="90">
        <v>0.03</v>
      </c>
      <c r="E29" s="90">
        <v>0.1</v>
      </c>
      <c r="F29" s="90">
        <v>0.03</v>
      </c>
      <c r="G29" s="90">
        <v>0.02</v>
      </c>
      <c r="H29" s="90">
        <v>0.04</v>
      </c>
    </row>
    <row r="30" spans="1:11" ht="15.75">
      <c r="A30" s="393"/>
      <c r="B30" s="88" t="s">
        <v>66</v>
      </c>
      <c r="C30" s="90">
        <v>61.37</v>
      </c>
      <c r="D30" s="90">
        <v>0.53</v>
      </c>
      <c r="E30" s="90">
        <v>1.0900000000000001</v>
      </c>
      <c r="F30" s="90">
        <v>67.13</v>
      </c>
      <c r="G30" s="90">
        <v>1.79</v>
      </c>
      <c r="H30" s="90">
        <v>0.44</v>
      </c>
    </row>
    <row r="31" spans="1:11" ht="15.75">
      <c r="A31" s="394"/>
      <c r="B31" s="88" t="s">
        <v>67</v>
      </c>
      <c r="C31" s="90">
        <v>72.239999999999995</v>
      </c>
      <c r="D31" s="90">
        <v>1.4</v>
      </c>
      <c r="E31" s="90">
        <v>1.98</v>
      </c>
      <c r="F31" s="90">
        <v>77.59</v>
      </c>
      <c r="G31" s="90">
        <v>5.36</v>
      </c>
      <c r="H31" s="90">
        <v>0.95</v>
      </c>
    </row>
    <row r="32" spans="1:11" ht="18.75">
      <c r="A32" s="369" t="s">
        <v>79</v>
      </c>
      <c r="B32" s="369"/>
      <c r="C32" s="369"/>
      <c r="D32" s="369"/>
      <c r="E32" s="369"/>
      <c r="F32" s="369"/>
      <c r="G32" s="369"/>
      <c r="H32" s="369"/>
      <c r="I32" s="19"/>
      <c r="J32" s="19"/>
      <c r="K32" s="19"/>
    </row>
  </sheetData>
  <mergeCells count="8">
    <mergeCell ref="A1:H1"/>
    <mergeCell ref="A32:H32"/>
    <mergeCell ref="C2:E2"/>
    <mergeCell ref="F2:H2"/>
    <mergeCell ref="A2:B4"/>
    <mergeCell ref="A6:A13"/>
    <mergeCell ref="A15:A22"/>
    <mergeCell ref="A24:A31"/>
  </mergeCells>
  <pageMargins left="1.17916666666667" right="0.69930555555555596" top="0.75" bottom="0.75" header="0.3" footer="0.3"/>
  <pageSetup paperSize="9" scale="87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H15"/>
  <sheetViews>
    <sheetView workbookViewId="0">
      <selection activeCell="F8" sqref="F8"/>
    </sheetView>
  </sheetViews>
  <sheetFormatPr defaultRowHeight="15"/>
  <cols>
    <col min="1" max="1" width="7" style="60" customWidth="1"/>
    <col min="2" max="2" width="17" style="60" customWidth="1"/>
    <col min="3" max="3" width="13.7109375" style="60" customWidth="1"/>
    <col min="4" max="4" width="13.85546875" style="60" customWidth="1"/>
    <col min="5" max="16384" width="9.140625" style="60"/>
  </cols>
  <sheetData>
    <row r="1" spans="1:8" ht="20.100000000000001" customHeight="1">
      <c r="A1" s="58" t="s">
        <v>259</v>
      </c>
      <c r="B1" s="58"/>
      <c r="C1" s="58"/>
      <c r="D1" s="58"/>
      <c r="E1" s="59"/>
      <c r="F1" s="59"/>
    </row>
    <row r="2" spans="1:8" ht="20.100000000000001" customHeight="1">
      <c r="A2" s="61" t="s">
        <v>166</v>
      </c>
      <c r="B2" s="64" t="s">
        <v>14</v>
      </c>
      <c r="C2" s="64" t="s">
        <v>85</v>
      </c>
      <c r="D2" s="64" t="s">
        <v>84</v>
      </c>
      <c r="E2" s="59"/>
      <c r="F2" s="59"/>
    </row>
    <row r="3" spans="1:8" ht="20.100000000000001" customHeight="1">
      <c r="A3" s="62">
        <v>1</v>
      </c>
      <c r="B3" s="63" t="s">
        <v>21</v>
      </c>
      <c r="C3" s="62">
        <v>2711</v>
      </c>
      <c r="D3" s="62">
        <v>3204</v>
      </c>
      <c r="E3" s="59"/>
      <c r="F3" s="59"/>
    </row>
    <row r="4" spans="1:8" ht="20.100000000000001" customHeight="1">
      <c r="A4" s="62">
        <v>2</v>
      </c>
      <c r="B4" s="63" t="s">
        <v>22</v>
      </c>
      <c r="C4" s="62">
        <v>1210</v>
      </c>
      <c r="D4" s="62">
        <v>1530</v>
      </c>
      <c r="E4" s="59"/>
      <c r="F4" s="59"/>
    </row>
    <row r="5" spans="1:8" ht="20.100000000000001" customHeight="1">
      <c r="A5" s="62">
        <v>3</v>
      </c>
      <c r="B5" s="63" t="s">
        <v>23</v>
      </c>
      <c r="C5" s="62">
        <v>1217</v>
      </c>
      <c r="D5" s="62">
        <v>1323</v>
      </c>
      <c r="E5" s="59"/>
      <c r="F5" s="59"/>
    </row>
    <row r="6" spans="1:8" ht="20.100000000000001" customHeight="1">
      <c r="A6" s="62">
        <v>4</v>
      </c>
      <c r="B6" s="63" t="s">
        <v>24</v>
      </c>
      <c r="C6" s="62">
        <v>986</v>
      </c>
      <c r="D6" s="62">
        <v>1172</v>
      </c>
      <c r="E6" s="59"/>
      <c r="F6" s="59"/>
    </row>
    <row r="7" spans="1:8" ht="20.100000000000001" customHeight="1">
      <c r="A7" s="62">
        <v>5</v>
      </c>
      <c r="B7" s="63" t="s">
        <v>25</v>
      </c>
      <c r="C7" s="62">
        <v>1878</v>
      </c>
      <c r="D7" s="62">
        <v>2300</v>
      </c>
      <c r="E7" s="59"/>
      <c r="F7" s="59"/>
    </row>
    <row r="8" spans="1:8" ht="20.100000000000001" customHeight="1">
      <c r="A8" s="62">
        <v>6</v>
      </c>
      <c r="B8" s="63" t="s">
        <v>26</v>
      </c>
      <c r="C8" s="62">
        <v>1045</v>
      </c>
      <c r="D8" s="62">
        <v>1308</v>
      </c>
      <c r="E8" s="59"/>
      <c r="F8" s="59"/>
    </row>
    <row r="9" spans="1:8" ht="20.100000000000001" customHeight="1">
      <c r="A9" s="62">
        <v>7</v>
      </c>
      <c r="B9" s="63" t="s">
        <v>27</v>
      </c>
      <c r="C9" s="62">
        <v>1593</v>
      </c>
      <c r="D9" s="62">
        <v>1953</v>
      </c>
      <c r="E9" s="59"/>
      <c r="F9" s="59"/>
    </row>
    <row r="10" spans="1:8" ht="20.100000000000001" customHeight="1">
      <c r="A10" s="62">
        <v>8</v>
      </c>
      <c r="B10" s="63" t="s">
        <v>28</v>
      </c>
      <c r="C10" s="62">
        <v>441</v>
      </c>
      <c r="D10" s="62">
        <v>572</v>
      </c>
      <c r="E10" s="59"/>
      <c r="F10" s="59"/>
    </row>
    <row r="11" spans="1:8" ht="20.100000000000001" customHeight="1">
      <c r="A11" s="62">
        <v>9</v>
      </c>
      <c r="B11" s="63" t="s">
        <v>29</v>
      </c>
      <c r="C11" s="62">
        <v>485</v>
      </c>
      <c r="D11" s="62">
        <v>533</v>
      </c>
      <c r="E11" s="59"/>
      <c r="F11" s="59"/>
    </row>
    <row r="12" spans="1:8" ht="20.100000000000001" customHeight="1">
      <c r="A12" s="62">
        <v>10</v>
      </c>
      <c r="B12" s="63" t="s">
        <v>30</v>
      </c>
      <c r="C12" s="62">
        <v>1233</v>
      </c>
      <c r="D12" s="62">
        <v>1464</v>
      </c>
      <c r="E12" s="59"/>
      <c r="F12" s="59"/>
    </row>
    <row r="13" spans="1:8" ht="20.100000000000001" customHeight="1">
      <c r="A13" s="62">
        <v>11</v>
      </c>
      <c r="B13" s="63" t="s">
        <v>31</v>
      </c>
      <c r="C13" s="62">
        <v>704</v>
      </c>
      <c r="D13" s="62">
        <v>788</v>
      </c>
      <c r="E13" s="59"/>
      <c r="F13" s="59"/>
    </row>
    <row r="14" spans="1:8" ht="20.100000000000001" customHeight="1">
      <c r="A14" s="64">
        <v>12</v>
      </c>
      <c r="B14" s="61" t="s">
        <v>20</v>
      </c>
      <c r="C14" s="64">
        <v>13483</v>
      </c>
      <c r="D14" s="64">
        <v>16148</v>
      </c>
      <c r="E14" s="59"/>
      <c r="F14" s="59"/>
    </row>
    <row r="15" spans="1:8" ht="20.100000000000001" customHeight="1">
      <c r="A15" s="369" t="s">
        <v>79</v>
      </c>
      <c r="B15" s="369"/>
      <c r="C15" s="369"/>
      <c r="D15" s="369"/>
      <c r="E15" s="369"/>
      <c r="F15" s="369"/>
      <c r="G15" s="369"/>
      <c r="H15" s="369"/>
    </row>
  </sheetData>
  <mergeCells count="1">
    <mergeCell ref="A15:H15"/>
  </mergeCells>
  <pageMargins left="0.7" right="0.7" top="0.75" bottom="0.75" header="0.3" footer="0.3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H11"/>
  <sheetViews>
    <sheetView workbookViewId="0">
      <selection activeCell="F6" sqref="F6"/>
    </sheetView>
  </sheetViews>
  <sheetFormatPr defaultRowHeight="15"/>
  <cols>
    <col min="1" max="1" width="6.140625" style="60" customWidth="1"/>
    <col min="2" max="2" width="21.85546875" style="60" customWidth="1"/>
    <col min="3" max="3" width="11.7109375" style="60" customWidth="1"/>
    <col min="4" max="4" width="10.85546875" style="60" customWidth="1"/>
    <col min="5" max="16384" width="9.140625" style="60"/>
  </cols>
  <sheetData>
    <row r="1" spans="1:8" ht="20.100000000000001" customHeight="1">
      <c r="A1" s="58" t="s">
        <v>260</v>
      </c>
      <c r="B1" s="58"/>
      <c r="C1" s="58"/>
      <c r="D1" s="65"/>
    </row>
    <row r="2" spans="1:8" ht="20.100000000000001" customHeight="1">
      <c r="A2" s="61" t="s">
        <v>126</v>
      </c>
      <c r="B2" s="64" t="s">
        <v>167</v>
      </c>
      <c r="C2" s="64" t="s">
        <v>85</v>
      </c>
      <c r="D2" s="64" t="s">
        <v>84</v>
      </c>
    </row>
    <row r="3" spans="1:8" ht="20.100000000000001" customHeight="1">
      <c r="A3" s="62">
        <v>1</v>
      </c>
      <c r="B3" s="63" t="s">
        <v>168</v>
      </c>
      <c r="C3" s="62">
        <v>2020</v>
      </c>
      <c r="D3" s="62">
        <v>2130</v>
      </c>
    </row>
    <row r="4" spans="1:8" ht="20.100000000000001" customHeight="1">
      <c r="A4" s="62">
        <v>2</v>
      </c>
      <c r="B4" s="63" t="s">
        <v>169</v>
      </c>
      <c r="C4" s="62">
        <v>3933</v>
      </c>
      <c r="D4" s="62">
        <v>5007</v>
      </c>
    </row>
    <row r="5" spans="1:8" ht="20.100000000000001" customHeight="1">
      <c r="A5" s="62">
        <v>3</v>
      </c>
      <c r="B5" s="63" t="s">
        <v>170</v>
      </c>
      <c r="C5" s="62">
        <v>1033</v>
      </c>
      <c r="D5" s="62">
        <v>1261</v>
      </c>
    </row>
    <row r="6" spans="1:8" ht="20.100000000000001" customHeight="1">
      <c r="A6" s="62">
        <v>4</v>
      </c>
      <c r="B6" s="63" t="s">
        <v>171</v>
      </c>
      <c r="C6" s="62">
        <v>1593</v>
      </c>
      <c r="D6" s="62">
        <v>2235</v>
      </c>
    </row>
    <row r="7" spans="1:8" ht="20.100000000000001" customHeight="1">
      <c r="A7" s="62">
        <v>5</v>
      </c>
      <c r="B7" s="63" t="s">
        <v>172</v>
      </c>
      <c r="C7" s="62">
        <v>584</v>
      </c>
      <c r="D7" s="62">
        <v>666</v>
      </c>
    </row>
    <row r="8" spans="1:8" ht="20.100000000000001" customHeight="1">
      <c r="A8" s="62">
        <v>6</v>
      </c>
      <c r="B8" s="63" t="s">
        <v>173</v>
      </c>
      <c r="C8" s="62">
        <v>448</v>
      </c>
      <c r="D8" s="62">
        <v>547</v>
      </c>
    </row>
    <row r="9" spans="1:8" ht="20.100000000000001" customHeight="1">
      <c r="A9" s="62">
        <v>7</v>
      </c>
      <c r="B9" s="63" t="s">
        <v>174</v>
      </c>
      <c r="C9" s="62">
        <v>1563</v>
      </c>
      <c r="D9" s="62">
        <v>1773</v>
      </c>
    </row>
    <row r="10" spans="1:8" ht="20.100000000000001" customHeight="1">
      <c r="A10" s="62">
        <v>8</v>
      </c>
      <c r="B10" s="63" t="s">
        <v>175</v>
      </c>
      <c r="C10" s="62">
        <v>2309</v>
      </c>
      <c r="D10" s="62">
        <v>2529</v>
      </c>
    </row>
    <row r="11" spans="1:8" ht="15.75">
      <c r="A11" s="369" t="s">
        <v>79</v>
      </c>
      <c r="B11" s="369"/>
      <c r="C11" s="369"/>
      <c r="D11" s="369"/>
      <c r="E11" s="369"/>
      <c r="F11" s="369"/>
      <c r="G11" s="369"/>
      <c r="H11" s="369"/>
    </row>
  </sheetData>
  <mergeCells count="1">
    <mergeCell ref="A11:H1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H17"/>
  <sheetViews>
    <sheetView workbookViewId="0">
      <selection activeCell="J9" sqref="J9"/>
    </sheetView>
  </sheetViews>
  <sheetFormatPr defaultRowHeight="15"/>
  <cols>
    <col min="1" max="1" width="6.85546875" style="60" customWidth="1"/>
    <col min="2" max="2" width="18.28515625" style="60" customWidth="1"/>
    <col min="3" max="8" width="10.7109375" style="60" customWidth="1"/>
    <col min="9" max="16384" width="9.140625" style="60"/>
  </cols>
  <sheetData>
    <row r="1" spans="1:8">
      <c r="A1" s="395" t="s">
        <v>547</v>
      </c>
      <c r="B1" s="395"/>
      <c r="C1" s="395"/>
      <c r="D1" s="395"/>
      <c r="E1" s="395"/>
      <c r="F1" s="395"/>
      <c r="G1" s="395"/>
      <c r="H1" s="395"/>
    </row>
    <row r="2" spans="1:8" ht="15.75">
      <c r="A2" s="396" t="s">
        <v>0</v>
      </c>
      <c r="B2" s="396" t="s">
        <v>14</v>
      </c>
      <c r="C2" s="398" t="s">
        <v>176</v>
      </c>
      <c r="D2" s="399"/>
      <c r="E2" s="398" t="s">
        <v>177</v>
      </c>
      <c r="F2" s="399"/>
      <c r="G2" s="398" t="s">
        <v>178</v>
      </c>
      <c r="H2" s="399"/>
    </row>
    <row r="3" spans="1:8" ht="15.75">
      <c r="A3" s="397"/>
      <c r="B3" s="397"/>
      <c r="C3" s="62" t="s">
        <v>85</v>
      </c>
      <c r="D3" s="62" t="s">
        <v>84</v>
      </c>
      <c r="E3" s="62" t="s">
        <v>85</v>
      </c>
      <c r="F3" s="62" t="s">
        <v>84</v>
      </c>
      <c r="G3" s="62" t="s">
        <v>85</v>
      </c>
      <c r="H3" s="62" t="s">
        <v>84</v>
      </c>
    </row>
    <row r="4" spans="1:8" ht="15.75">
      <c r="A4" s="62">
        <v>1</v>
      </c>
      <c r="B4" s="63" t="s">
        <v>21</v>
      </c>
      <c r="C4" s="62">
        <v>961</v>
      </c>
      <c r="D4" s="62">
        <v>1068</v>
      </c>
      <c r="E4" s="62">
        <v>1030</v>
      </c>
      <c r="F4" s="62">
        <v>1192</v>
      </c>
      <c r="G4" s="62">
        <v>693</v>
      </c>
      <c r="H4" s="62">
        <v>922</v>
      </c>
    </row>
    <row r="5" spans="1:8" ht="15.75">
      <c r="A5" s="62">
        <v>2</v>
      </c>
      <c r="B5" s="63" t="s">
        <v>22</v>
      </c>
      <c r="C5" s="62">
        <v>191</v>
      </c>
      <c r="D5" s="62">
        <v>275</v>
      </c>
      <c r="E5" s="62">
        <v>402</v>
      </c>
      <c r="F5" s="62">
        <v>555</v>
      </c>
      <c r="G5" s="62">
        <v>616</v>
      </c>
      <c r="H5" s="62">
        <v>696</v>
      </c>
    </row>
    <row r="6" spans="1:8" ht="15.75">
      <c r="A6" s="62">
        <v>3</v>
      </c>
      <c r="B6" s="63" t="s">
        <v>23</v>
      </c>
      <c r="C6" s="62">
        <v>252</v>
      </c>
      <c r="D6" s="62">
        <v>282</v>
      </c>
      <c r="E6" s="62">
        <v>432</v>
      </c>
      <c r="F6" s="62">
        <v>542</v>
      </c>
      <c r="G6" s="62">
        <v>522</v>
      </c>
      <c r="H6" s="62">
        <v>499</v>
      </c>
    </row>
    <row r="7" spans="1:8" ht="15.75">
      <c r="A7" s="62">
        <v>4</v>
      </c>
      <c r="B7" s="63" t="s">
        <v>24</v>
      </c>
      <c r="C7" s="62">
        <v>247</v>
      </c>
      <c r="D7" s="62">
        <v>300</v>
      </c>
      <c r="E7" s="62">
        <v>374</v>
      </c>
      <c r="F7" s="62">
        <v>471</v>
      </c>
      <c r="G7" s="62">
        <v>365</v>
      </c>
      <c r="H7" s="62">
        <v>400</v>
      </c>
    </row>
    <row r="8" spans="1:8" ht="15.75">
      <c r="A8" s="62">
        <v>5</v>
      </c>
      <c r="B8" s="63" t="s">
        <v>25</v>
      </c>
      <c r="C8" s="62">
        <v>556</v>
      </c>
      <c r="D8" s="62">
        <v>636</v>
      </c>
      <c r="E8" s="62">
        <v>777</v>
      </c>
      <c r="F8" s="62">
        <v>980</v>
      </c>
      <c r="G8" s="62">
        <v>543</v>
      </c>
      <c r="H8" s="62">
        <v>681</v>
      </c>
    </row>
    <row r="9" spans="1:8" ht="15.75">
      <c r="A9" s="62">
        <v>6</v>
      </c>
      <c r="B9" s="63" t="s">
        <v>26</v>
      </c>
      <c r="C9" s="62">
        <v>224</v>
      </c>
      <c r="D9" s="62">
        <v>279</v>
      </c>
      <c r="E9" s="62">
        <v>363</v>
      </c>
      <c r="F9" s="62">
        <v>503</v>
      </c>
      <c r="G9" s="62">
        <v>458</v>
      </c>
      <c r="H9" s="62">
        <v>525</v>
      </c>
    </row>
    <row r="10" spans="1:8" ht="15.75">
      <c r="A10" s="62">
        <v>7</v>
      </c>
      <c r="B10" s="63" t="s">
        <v>27</v>
      </c>
      <c r="C10" s="62">
        <v>358</v>
      </c>
      <c r="D10" s="62">
        <v>479</v>
      </c>
      <c r="E10" s="62">
        <v>660</v>
      </c>
      <c r="F10" s="62">
        <v>781</v>
      </c>
      <c r="G10" s="62">
        <v>555</v>
      </c>
      <c r="H10" s="62">
        <v>692</v>
      </c>
    </row>
    <row r="11" spans="1:8" ht="15.75">
      <c r="A11" s="62">
        <v>8</v>
      </c>
      <c r="B11" s="63" t="s">
        <v>28</v>
      </c>
      <c r="C11" s="62">
        <v>103</v>
      </c>
      <c r="D11" s="62">
        <v>155</v>
      </c>
      <c r="E11" s="62">
        <v>148</v>
      </c>
      <c r="F11" s="62">
        <v>179</v>
      </c>
      <c r="G11" s="62">
        <v>190</v>
      </c>
      <c r="H11" s="62">
        <v>238</v>
      </c>
    </row>
    <row r="12" spans="1:8" ht="15.75">
      <c r="A12" s="62">
        <v>9</v>
      </c>
      <c r="B12" s="63" t="s">
        <v>29</v>
      </c>
      <c r="C12" s="62">
        <v>108</v>
      </c>
      <c r="D12" s="62">
        <v>122</v>
      </c>
      <c r="E12" s="62">
        <v>229</v>
      </c>
      <c r="F12" s="62">
        <v>247</v>
      </c>
      <c r="G12" s="62">
        <v>148</v>
      </c>
      <c r="H12" s="62">
        <v>162</v>
      </c>
    </row>
    <row r="13" spans="1:8" ht="15.75">
      <c r="A13" s="62">
        <v>10</v>
      </c>
      <c r="B13" s="63" t="s">
        <v>30</v>
      </c>
      <c r="C13" s="62">
        <v>343</v>
      </c>
      <c r="D13" s="62">
        <v>385</v>
      </c>
      <c r="E13" s="62">
        <v>457</v>
      </c>
      <c r="F13" s="62">
        <v>636</v>
      </c>
      <c r="G13" s="62">
        <v>431</v>
      </c>
      <c r="H13" s="62">
        <v>436</v>
      </c>
    </row>
    <row r="14" spans="1:8" ht="15.75">
      <c r="A14" s="62">
        <v>11</v>
      </c>
      <c r="B14" s="63" t="s">
        <v>31</v>
      </c>
      <c r="C14" s="62">
        <v>193</v>
      </c>
      <c r="D14" s="62">
        <v>223</v>
      </c>
      <c r="E14" s="62">
        <v>269</v>
      </c>
      <c r="F14" s="62">
        <v>331</v>
      </c>
      <c r="G14" s="62">
        <v>242</v>
      </c>
      <c r="H14" s="62">
        <v>233</v>
      </c>
    </row>
    <row r="15" spans="1:8" ht="15.75">
      <c r="A15" s="62">
        <v>12</v>
      </c>
      <c r="B15" s="63" t="s">
        <v>20</v>
      </c>
      <c r="C15" s="62">
        <f t="shared" ref="C15:H15" si="0">SUM(C4:C14)</f>
        <v>3536</v>
      </c>
      <c r="D15" s="62">
        <f t="shared" si="0"/>
        <v>4204</v>
      </c>
      <c r="E15" s="62">
        <f t="shared" si="0"/>
        <v>5141</v>
      </c>
      <c r="F15" s="62">
        <f t="shared" si="0"/>
        <v>6417</v>
      </c>
      <c r="G15" s="62">
        <f t="shared" si="0"/>
        <v>4763</v>
      </c>
      <c r="H15" s="62">
        <f t="shared" si="0"/>
        <v>5484</v>
      </c>
    </row>
    <row r="16" spans="1:8" ht="15.75">
      <c r="A16" s="59"/>
      <c r="B16" s="59"/>
      <c r="C16" s="59"/>
      <c r="D16" s="107"/>
      <c r="E16" s="108"/>
      <c r="F16" s="108"/>
      <c r="G16" s="108"/>
      <c r="H16" s="107"/>
    </row>
    <row r="17" spans="1:1">
      <c r="A17" s="321" t="s">
        <v>549</v>
      </c>
    </row>
  </sheetData>
  <mergeCells count="6">
    <mergeCell ref="A1:H1"/>
    <mergeCell ref="A2:A3"/>
    <mergeCell ref="B2:B3"/>
    <mergeCell ref="C2:D2"/>
    <mergeCell ref="E2:F2"/>
    <mergeCell ref="G2:H2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B1:Q81"/>
  <sheetViews>
    <sheetView workbookViewId="0">
      <selection activeCell="E1" sqref="E1:J1"/>
    </sheetView>
  </sheetViews>
  <sheetFormatPr defaultRowHeight="15"/>
  <cols>
    <col min="1" max="1" width="0.42578125" style="67" customWidth="1"/>
    <col min="2" max="4" width="9.140625" style="67" hidden="1" customWidth="1"/>
    <col min="5" max="5" width="22.7109375" style="67" customWidth="1"/>
    <col min="6" max="6" width="14.140625" style="67" customWidth="1"/>
    <col min="7" max="7" width="14.42578125" style="67" customWidth="1"/>
    <col min="8" max="8" width="13.85546875" style="67" customWidth="1"/>
    <col min="9" max="11" width="13.7109375" style="67" customWidth="1"/>
    <col min="12" max="16384" width="9.140625" style="67"/>
  </cols>
  <sheetData>
    <row r="1" spans="5:11" ht="30.75" customHeight="1">
      <c r="E1" s="400" t="s">
        <v>261</v>
      </c>
      <c r="F1" s="400"/>
      <c r="G1" s="400"/>
      <c r="H1" s="400"/>
      <c r="I1" s="400"/>
      <c r="J1" s="400"/>
      <c r="K1" s="80"/>
    </row>
    <row r="2" spans="5:11" ht="24.75" hidden="1" customHeight="1">
      <c r="E2" s="78"/>
      <c r="F2" s="79">
        <v>26734</v>
      </c>
      <c r="G2" s="79">
        <v>14245</v>
      </c>
      <c r="H2" s="79">
        <v>12489</v>
      </c>
    </row>
    <row r="3" spans="5:11" ht="24.75" hidden="1" customHeight="1">
      <c r="E3" s="78"/>
      <c r="F3" s="77">
        <v>1330</v>
      </c>
      <c r="G3" s="77">
        <v>665</v>
      </c>
      <c r="H3" s="77">
        <v>665</v>
      </c>
    </row>
    <row r="4" spans="5:11" ht="24.75" hidden="1" customHeight="1">
      <c r="E4" s="78"/>
      <c r="F4" s="77">
        <v>2082</v>
      </c>
      <c r="G4" s="77">
        <v>1099</v>
      </c>
      <c r="H4" s="77">
        <v>983</v>
      </c>
    </row>
    <row r="5" spans="5:11" ht="24.75" hidden="1" customHeight="1">
      <c r="E5" s="78"/>
      <c r="F5" s="77">
        <v>5026</v>
      </c>
      <c r="G5" s="77">
        <v>2633</v>
      </c>
      <c r="H5" s="77">
        <v>2393</v>
      </c>
    </row>
    <row r="6" spans="5:11" ht="24.75" hidden="1" customHeight="1">
      <c r="E6" s="78"/>
      <c r="F6" s="77">
        <v>4087</v>
      </c>
      <c r="G6" s="77">
        <v>2247</v>
      </c>
      <c r="H6" s="77">
        <v>1840</v>
      </c>
    </row>
    <row r="7" spans="5:11" ht="24.75" hidden="1" customHeight="1">
      <c r="E7" s="78"/>
      <c r="F7" s="77">
        <v>3458</v>
      </c>
      <c r="G7" s="77">
        <v>1885</v>
      </c>
      <c r="H7" s="77">
        <v>1573</v>
      </c>
    </row>
    <row r="8" spans="5:11" ht="24.75" hidden="1" customHeight="1">
      <c r="E8" s="78"/>
      <c r="F8" s="77">
        <v>3186</v>
      </c>
      <c r="G8" s="77">
        <v>1765</v>
      </c>
      <c r="H8" s="77">
        <v>1421</v>
      </c>
    </row>
    <row r="9" spans="5:11" ht="24.75" hidden="1" customHeight="1">
      <c r="E9" s="78"/>
      <c r="F9" s="77">
        <v>2678</v>
      </c>
      <c r="G9" s="77">
        <v>1522</v>
      </c>
      <c r="H9" s="77">
        <v>1156</v>
      </c>
    </row>
    <row r="10" spans="5:11" ht="24.75" hidden="1" customHeight="1">
      <c r="E10" s="78"/>
      <c r="F10" s="77">
        <v>2453</v>
      </c>
      <c r="G10" s="77">
        <v>1220</v>
      </c>
      <c r="H10" s="77">
        <v>1233</v>
      </c>
    </row>
    <row r="11" spans="5:11" ht="24.75" hidden="1" customHeight="1">
      <c r="E11" s="78"/>
      <c r="F11" s="77">
        <v>1546</v>
      </c>
      <c r="G11" s="77">
        <v>776</v>
      </c>
      <c r="H11" s="77">
        <v>770</v>
      </c>
    </row>
    <row r="12" spans="5:11" ht="24.75" hidden="1" customHeight="1">
      <c r="E12" s="78"/>
      <c r="F12" s="77">
        <v>203</v>
      </c>
      <c r="G12" s="77">
        <v>96</v>
      </c>
      <c r="H12" s="77">
        <v>107</v>
      </c>
    </row>
    <row r="13" spans="5:11" ht="24.75" hidden="1" customHeight="1">
      <c r="E13" s="78"/>
      <c r="F13" s="77">
        <v>203</v>
      </c>
      <c r="G13" s="77">
        <v>96</v>
      </c>
      <c r="H13" s="77">
        <v>107</v>
      </c>
    </row>
    <row r="14" spans="5:11" ht="24.75" customHeight="1">
      <c r="E14" s="92" t="s">
        <v>238</v>
      </c>
      <c r="F14" s="401" t="s">
        <v>237</v>
      </c>
      <c r="G14" s="402"/>
      <c r="H14" s="403"/>
      <c r="I14" s="404" t="s">
        <v>20</v>
      </c>
      <c r="J14" s="404"/>
      <c r="K14" s="404"/>
    </row>
    <row r="15" spans="5:11" ht="17.25" customHeight="1">
      <c r="E15" s="405" t="s">
        <v>19</v>
      </c>
      <c r="F15" s="93" t="s">
        <v>236</v>
      </c>
      <c r="G15" s="93" t="s">
        <v>235</v>
      </c>
      <c r="H15" s="93" t="s">
        <v>234</v>
      </c>
      <c r="I15" s="94" t="s">
        <v>236</v>
      </c>
      <c r="J15" s="94" t="s">
        <v>235</v>
      </c>
      <c r="K15" s="94" t="s">
        <v>234</v>
      </c>
    </row>
    <row r="16" spans="5:11" ht="22.5" customHeight="1">
      <c r="E16" s="406"/>
      <c r="F16" s="95" t="s">
        <v>233</v>
      </c>
      <c r="G16" s="95" t="s">
        <v>232</v>
      </c>
      <c r="H16" s="95" t="s">
        <v>231</v>
      </c>
      <c r="I16" s="95">
        <v>29631</v>
      </c>
      <c r="J16" s="95">
        <v>16148</v>
      </c>
      <c r="K16" s="95">
        <v>13483</v>
      </c>
    </row>
    <row r="17" spans="5:17" ht="19.5" customHeight="1">
      <c r="E17" s="96" t="s">
        <v>230</v>
      </c>
      <c r="F17" s="97" t="s">
        <v>229</v>
      </c>
      <c r="G17" s="97" t="s">
        <v>228</v>
      </c>
      <c r="H17" s="97" t="s">
        <v>227</v>
      </c>
      <c r="I17" s="97">
        <v>1172</v>
      </c>
      <c r="J17" s="97">
        <v>622</v>
      </c>
      <c r="K17" s="97">
        <v>550</v>
      </c>
    </row>
    <row r="18" spans="5:17" ht="19.5" customHeight="1">
      <c r="E18" s="97" t="s">
        <v>226</v>
      </c>
      <c r="F18" s="97" t="s">
        <v>225</v>
      </c>
      <c r="G18" s="97" t="s">
        <v>224</v>
      </c>
      <c r="H18" s="97" t="s">
        <v>223</v>
      </c>
      <c r="I18" s="97">
        <v>1937</v>
      </c>
      <c r="J18" s="97">
        <v>1053</v>
      </c>
      <c r="K18" s="97">
        <v>884</v>
      </c>
    </row>
    <row r="19" spans="5:17" ht="16.5" customHeight="1">
      <c r="E19" s="97" t="s">
        <v>222</v>
      </c>
      <c r="F19" s="97" t="s">
        <v>221</v>
      </c>
      <c r="G19" s="97" t="s">
        <v>220</v>
      </c>
      <c r="H19" s="97" t="s">
        <v>219</v>
      </c>
      <c r="I19" s="97">
        <v>4631</v>
      </c>
      <c r="J19" s="97">
        <v>2529</v>
      </c>
      <c r="K19" s="97">
        <v>2102</v>
      </c>
    </row>
    <row r="20" spans="5:17" ht="19.5" customHeight="1">
      <c r="E20" s="97" t="s">
        <v>218</v>
      </c>
      <c r="F20" s="97" t="s">
        <v>217</v>
      </c>
      <c r="G20" s="97" t="s">
        <v>216</v>
      </c>
      <c r="H20" s="97" t="s">
        <v>215</v>
      </c>
      <c r="I20" s="97">
        <v>4291</v>
      </c>
      <c r="J20" s="97">
        <v>2319</v>
      </c>
      <c r="K20" s="97">
        <v>1972</v>
      </c>
    </row>
    <row r="21" spans="5:17" ht="19.5" customHeight="1">
      <c r="E21" s="97" t="s">
        <v>214</v>
      </c>
      <c r="F21" s="97" t="s">
        <v>213</v>
      </c>
      <c r="G21" s="97" t="s">
        <v>212</v>
      </c>
      <c r="H21" s="97" t="s">
        <v>211</v>
      </c>
      <c r="I21" s="97">
        <v>3575</v>
      </c>
      <c r="J21" s="97">
        <v>1980</v>
      </c>
      <c r="K21" s="97">
        <v>1595</v>
      </c>
    </row>
    <row r="22" spans="5:17" ht="18" customHeight="1">
      <c r="E22" s="97" t="s">
        <v>210</v>
      </c>
      <c r="F22" s="97" t="s">
        <v>209</v>
      </c>
      <c r="G22" s="97" t="s">
        <v>208</v>
      </c>
      <c r="H22" s="97" t="s">
        <v>207</v>
      </c>
      <c r="I22" s="97">
        <v>3719</v>
      </c>
      <c r="J22" s="97">
        <v>2125</v>
      </c>
      <c r="K22" s="97">
        <v>1594</v>
      </c>
    </row>
    <row r="23" spans="5:17" ht="18.75" customHeight="1">
      <c r="E23" s="97" t="s">
        <v>206</v>
      </c>
      <c r="F23" s="97" t="s">
        <v>205</v>
      </c>
      <c r="G23" s="97" t="s">
        <v>204</v>
      </c>
      <c r="H23" s="97" t="s">
        <v>203</v>
      </c>
      <c r="I23" s="97">
        <v>3113</v>
      </c>
      <c r="J23" s="97">
        <v>1763</v>
      </c>
      <c r="K23" s="97">
        <v>1350</v>
      </c>
      <c r="N23" s="76"/>
    </row>
    <row r="24" spans="5:17" ht="16.5" customHeight="1">
      <c r="E24" s="97" t="s">
        <v>202</v>
      </c>
      <c r="F24" s="97" t="s">
        <v>201</v>
      </c>
      <c r="G24" s="97" t="s">
        <v>200</v>
      </c>
      <c r="H24" s="97" t="s">
        <v>199</v>
      </c>
      <c r="I24" s="97">
        <v>2862</v>
      </c>
      <c r="J24" s="97">
        <v>1503</v>
      </c>
      <c r="K24" s="97">
        <v>1359</v>
      </c>
    </row>
    <row r="25" spans="5:17" ht="15.75" customHeight="1">
      <c r="E25" s="97" t="s">
        <v>198</v>
      </c>
      <c r="F25" s="97" t="s">
        <v>197</v>
      </c>
      <c r="G25" s="97" t="s">
        <v>196</v>
      </c>
      <c r="H25" s="97" t="s">
        <v>195</v>
      </c>
      <c r="I25" s="97">
        <v>2387</v>
      </c>
      <c r="J25" s="97">
        <v>1195</v>
      </c>
      <c r="K25" s="97">
        <v>1192</v>
      </c>
    </row>
    <row r="26" spans="5:17" ht="18.75" customHeight="1">
      <c r="E26" s="97" t="s">
        <v>194</v>
      </c>
      <c r="F26" s="97" t="s">
        <v>193</v>
      </c>
      <c r="G26" s="97" t="s">
        <v>192</v>
      </c>
      <c r="H26" s="97" t="s">
        <v>191</v>
      </c>
      <c r="I26" s="97">
        <v>1367</v>
      </c>
      <c r="J26" s="97">
        <v>726</v>
      </c>
      <c r="K26" s="97">
        <v>641</v>
      </c>
    </row>
    <row r="27" spans="5:17" ht="18" customHeight="1">
      <c r="E27" s="97" t="s">
        <v>190</v>
      </c>
      <c r="F27" s="97" t="s">
        <v>189</v>
      </c>
      <c r="G27" s="98">
        <v>97409</v>
      </c>
      <c r="H27" s="97" t="s">
        <v>188</v>
      </c>
      <c r="I27" s="97">
        <v>529</v>
      </c>
      <c r="J27" s="97">
        <v>297</v>
      </c>
      <c r="K27" s="97">
        <v>232</v>
      </c>
    </row>
    <row r="28" spans="5:17" s="76" customFormat="1" ht="19.5" customHeight="1">
      <c r="E28" s="93" t="s">
        <v>182</v>
      </c>
      <c r="F28" s="93" t="s">
        <v>187</v>
      </c>
      <c r="G28" s="322">
        <v>76155</v>
      </c>
      <c r="H28" s="322">
        <v>61635</v>
      </c>
      <c r="I28" s="93">
        <v>48</v>
      </c>
      <c r="J28" s="93">
        <v>36</v>
      </c>
      <c r="K28" s="93">
        <v>12</v>
      </c>
    </row>
    <row r="29" spans="5:17" s="74" customFormat="1" ht="7.5" hidden="1" customHeight="1">
      <c r="E29" s="75"/>
      <c r="F29" s="75"/>
      <c r="G29" s="75"/>
      <c r="H29" s="75"/>
    </row>
    <row r="30" spans="5:17" ht="21" customHeight="1">
      <c r="E30" s="73" t="s">
        <v>548</v>
      </c>
    </row>
    <row r="31" spans="5:17" ht="17.25" customHeight="1"/>
    <row r="32" spans="5:17" ht="18" customHeight="1">
      <c r="E32" s="72"/>
      <c r="F32" s="72"/>
      <c r="G32" s="72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spans="5:17" ht="21.75" customHeight="1">
      <c r="E33" s="71"/>
      <c r="F33" s="69"/>
      <c r="G33" s="69"/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spans="5:17" ht="22.5" customHeight="1">
      <c r="E34" s="70"/>
      <c r="F34" s="69"/>
      <c r="G34" s="69"/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pans="5:17" ht="25.5" customHeight="1">
      <c r="E35" s="70"/>
      <c r="F35" s="69"/>
      <c r="G35" s="69"/>
      <c r="H35" s="68"/>
      <c r="I35" s="68"/>
      <c r="J35" s="68"/>
      <c r="K35" s="68"/>
      <c r="L35" s="68"/>
      <c r="M35" s="68"/>
      <c r="N35" s="68"/>
      <c r="O35" s="68"/>
      <c r="P35" s="68"/>
      <c r="Q35" s="68"/>
    </row>
    <row r="36" spans="5:17" ht="24" customHeight="1">
      <c r="E36" s="70"/>
      <c r="F36" s="69"/>
      <c r="G36" s="69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5:17" ht="23.25" customHeight="1">
      <c r="E37" s="70"/>
      <c r="F37" s="69"/>
      <c r="G37" s="69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spans="5:17" ht="17.25" customHeight="1">
      <c r="E38" s="70"/>
      <c r="F38" s="69"/>
      <c r="G38" s="69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spans="5:17" ht="23.25" customHeight="1">
      <c r="E39" s="70"/>
      <c r="F39" s="69"/>
      <c r="G39" s="69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 spans="5:17" ht="21.75" customHeight="1">
      <c r="E40" s="70"/>
      <c r="F40" s="69"/>
      <c r="G40" s="69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spans="5:17" ht="18.75" customHeight="1">
      <c r="E41" s="70"/>
      <c r="F41" s="69"/>
      <c r="G41" s="69"/>
      <c r="H41" s="68"/>
      <c r="I41" s="68"/>
      <c r="J41" s="68"/>
      <c r="K41" s="68"/>
      <c r="L41" s="68"/>
      <c r="M41" s="68"/>
      <c r="N41" s="68"/>
      <c r="O41" s="68"/>
      <c r="P41" s="68"/>
      <c r="Q41" s="68"/>
    </row>
    <row r="42" spans="5:17" ht="16.5" customHeight="1">
      <c r="E42" s="70"/>
      <c r="F42" s="69"/>
      <c r="G42" s="69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 spans="5:17" ht="23.25" customHeight="1">
      <c r="E43" s="70"/>
      <c r="F43" s="69"/>
      <c r="G43" s="69"/>
      <c r="H43" s="68"/>
      <c r="I43" s="68"/>
      <c r="J43" s="68"/>
      <c r="K43" s="68"/>
      <c r="L43" s="68"/>
      <c r="M43" s="68"/>
      <c r="N43" s="68"/>
      <c r="O43" s="68"/>
      <c r="P43" s="68"/>
      <c r="Q43" s="68"/>
    </row>
    <row r="44" spans="5:17" ht="24" customHeight="1"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</row>
    <row r="45" spans="5:17" ht="19.5" customHeight="1"/>
    <row r="46" spans="5:17" ht="19.5" customHeight="1"/>
    <row r="47" spans="5:17" ht="24" customHeight="1"/>
    <row r="48" spans="5:17" ht="22.5" customHeight="1"/>
    <row r="49" ht="21.75" customHeight="1"/>
    <row r="50" ht="21" customHeight="1"/>
    <row r="51" ht="21" customHeight="1"/>
    <row r="52" ht="21.75" customHeight="1"/>
    <row r="53" ht="25.5" customHeight="1"/>
    <row r="54" ht="21.75" customHeight="1"/>
    <row r="55" ht="26.25" customHeight="1"/>
    <row r="56" ht="20.25" customHeight="1"/>
    <row r="57" ht="24.75" customHeight="1"/>
    <row r="58" ht="21.75" customHeight="1"/>
    <row r="59" ht="24" customHeight="1"/>
    <row r="60" ht="25.5" customHeight="1"/>
    <row r="61" ht="24" customHeight="1"/>
    <row r="62" ht="24.75" customHeight="1"/>
    <row r="63" ht="20.25" customHeight="1"/>
    <row r="64" ht="28.5" customHeight="1"/>
    <row r="65" ht="28.5" customHeight="1"/>
    <row r="66" ht="31.5" customHeight="1"/>
    <row r="67" ht="24.75" customHeight="1"/>
    <row r="68" ht="25.5" customHeight="1"/>
    <row r="69" ht="20.25" customHeight="1"/>
    <row r="70" ht="21.75" customHeight="1"/>
    <row r="71" ht="21.75" customHeight="1"/>
    <row r="72" ht="21" customHeight="1"/>
    <row r="73" ht="20.25" customHeight="1"/>
    <row r="74" ht="23.25" customHeight="1"/>
    <row r="75" ht="17.25" customHeight="1"/>
    <row r="76" ht="22.5" customHeight="1"/>
    <row r="77" ht="18.75" customHeight="1"/>
    <row r="78" ht="21.75" customHeight="1"/>
    <row r="79" ht="23.25" customHeight="1"/>
    <row r="80" ht="21" customHeight="1"/>
    <row r="81" ht="24.75" customHeight="1"/>
  </sheetData>
  <mergeCells count="4">
    <mergeCell ref="E1:J1"/>
    <mergeCell ref="F14:H14"/>
    <mergeCell ref="I14:K14"/>
    <mergeCell ref="E15:E16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J23"/>
  <sheetViews>
    <sheetView workbookViewId="0">
      <selection activeCell="J15" sqref="J15"/>
    </sheetView>
  </sheetViews>
  <sheetFormatPr defaultRowHeight="15"/>
  <cols>
    <col min="1" max="1" width="7.42578125" style="67" customWidth="1"/>
    <col min="2" max="2" width="38" style="67" customWidth="1"/>
    <col min="3" max="8" width="10.7109375" style="67" customWidth="1"/>
    <col min="9" max="16384" width="9.140625" style="67"/>
  </cols>
  <sheetData>
    <row r="1" spans="1:10" ht="20.25" customHeight="1">
      <c r="A1" s="409" t="s">
        <v>262</v>
      </c>
      <c r="B1" s="409"/>
      <c r="C1" s="409"/>
      <c r="D1" s="409"/>
      <c r="E1" s="409"/>
      <c r="F1" s="409"/>
      <c r="G1" s="409"/>
      <c r="H1" s="409"/>
      <c r="I1" s="80"/>
    </row>
    <row r="2" spans="1:10" ht="20.100000000000001" customHeight="1">
      <c r="A2" s="410" t="s">
        <v>245</v>
      </c>
      <c r="B2" s="410" t="s">
        <v>244</v>
      </c>
      <c r="C2" s="404" t="s">
        <v>237</v>
      </c>
      <c r="D2" s="404"/>
      <c r="E2" s="404"/>
      <c r="F2" s="404" t="s">
        <v>20</v>
      </c>
      <c r="G2" s="404"/>
      <c r="H2" s="404"/>
    </row>
    <row r="3" spans="1:10" ht="20.100000000000001" customHeight="1">
      <c r="A3" s="410"/>
      <c r="B3" s="410"/>
      <c r="C3" s="95" t="s">
        <v>44</v>
      </c>
      <c r="D3" s="95" t="s">
        <v>45</v>
      </c>
      <c r="E3" s="95" t="s">
        <v>46</v>
      </c>
      <c r="F3" s="95" t="s">
        <v>44</v>
      </c>
      <c r="G3" s="95" t="s">
        <v>45</v>
      </c>
      <c r="H3" s="95" t="s">
        <v>46</v>
      </c>
    </row>
    <row r="4" spans="1:10" ht="20.100000000000001" customHeight="1">
      <c r="A4" s="407" t="s">
        <v>19</v>
      </c>
      <c r="B4" s="408"/>
      <c r="C4" s="99">
        <v>26814994</v>
      </c>
      <c r="D4" s="99">
        <v>14988593</v>
      </c>
      <c r="E4" s="99">
        <v>11826401</v>
      </c>
      <c r="F4" s="99">
        <v>29631</v>
      </c>
      <c r="G4" s="99">
        <v>16148</v>
      </c>
      <c r="H4" s="99">
        <v>13483</v>
      </c>
    </row>
    <row r="5" spans="1:10" ht="20.100000000000001" customHeight="1">
      <c r="A5" s="93">
        <v>1</v>
      </c>
      <c r="B5" s="100" t="s">
        <v>148</v>
      </c>
      <c r="C5" s="100">
        <v>12196641</v>
      </c>
      <c r="D5" s="100">
        <v>5640240</v>
      </c>
      <c r="E5" s="100">
        <v>6556401</v>
      </c>
      <c r="F5" s="100">
        <v>16727</v>
      </c>
      <c r="G5" s="100">
        <v>8164</v>
      </c>
      <c r="H5" s="100">
        <v>8563</v>
      </c>
      <c r="I5" s="82"/>
      <c r="J5" s="82"/>
    </row>
    <row r="6" spans="1:10" ht="20.100000000000001" customHeight="1">
      <c r="A6" s="93">
        <v>2</v>
      </c>
      <c r="B6" s="100" t="s">
        <v>147</v>
      </c>
      <c r="C6" s="100">
        <v>14618353</v>
      </c>
      <c r="D6" s="100">
        <v>9348353</v>
      </c>
      <c r="E6" s="100">
        <v>5270000</v>
      </c>
      <c r="F6" s="100">
        <v>12904</v>
      </c>
      <c r="G6" s="100">
        <v>7984</v>
      </c>
      <c r="H6" s="100">
        <v>4920</v>
      </c>
      <c r="I6" s="82"/>
      <c r="J6" s="82"/>
    </row>
    <row r="7" spans="1:10" ht="20.100000000000001" customHeight="1">
      <c r="A7" s="93">
        <v>3</v>
      </c>
      <c r="B7" s="100" t="s">
        <v>243</v>
      </c>
      <c r="C7" s="100">
        <v>2840345</v>
      </c>
      <c r="D7" s="100">
        <v>1706441</v>
      </c>
      <c r="E7" s="100">
        <v>1133904</v>
      </c>
      <c r="F7" s="100">
        <v>2965</v>
      </c>
      <c r="G7" s="100">
        <v>1708</v>
      </c>
      <c r="H7" s="100">
        <v>1257</v>
      </c>
    </row>
    <row r="8" spans="1:10" ht="20.100000000000001" customHeight="1">
      <c r="A8" s="93">
        <v>4</v>
      </c>
      <c r="B8" s="100" t="s">
        <v>242</v>
      </c>
      <c r="C8" s="100">
        <v>3554858</v>
      </c>
      <c r="D8" s="100">
        <v>2195933</v>
      </c>
      <c r="E8" s="100">
        <v>1358925</v>
      </c>
      <c r="F8" s="100">
        <v>3288</v>
      </c>
      <c r="G8" s="100">
        <v>1996</v>
      </c>
      <c r="H8" s="100">
        <v>1292</v>
      </c>
    </row>
    <row r="9" spans="1:10" ht="20.100000000000001" customHeight="1">
      <c r="A9" s="93">
        <v>5</v>
      </c>
      <c r="B9" s="100" t="s">
        <v>241</v>
      </c>
      <c r="C9" s="100">
        <v>2448070</v>
      </c>
      <c r="D9" s="100">
        <v>1616539</v>
      </c>
      <c r="E9" s="100">
        <v>831531</v>
      </c>
      <c r="F9" s="100">
        <v>2471</v>
      </c>
      <c r="G9" s="100">
        <v>1586</v>
      </c>
      <c r="H9" s="100">
        <v>885</v>
      </c>
    </row>
    <row r="10" spans="1:10" ht="20.100000000000001" customHeight="1">
      <c r="A10" s="93">
        <v>6</v>
      </c>
      <c r="B10" s="100" t="s">
        <v>240</v>
      </c>
      <c r="C10" s="100">
        <v>3448650</v>
      </c>
      <c r="D10" s="100">
        <v>2330080</v>
      </c>
      <c r="E10" s="100">
        <v>1118570</v>
      </c>
      <c r="F10" s="100">
        <v>2105</v>
      </c>
      <c r="G10" s="100">
        <v>1328</v>
      </c>
      <c r="H10" s="100">
        <v>777</v>
      </c>
    </row>
    <row r="11" spans="1:10" ht="20.100000000000001" customHeight="1">
      <c r="A11" s="93">
        <v>7</v>
      </c>
      <c r="B11" s="100" t="s">
        <v>239</v>
      </c>
      <c r="C11" s="100">
        <v>1246857</v>
      </c>
      <c r="D11" s="100">
        <v>839702</v>
      </c>
      <c r="E11" s="100">
        <v>407155</v>
      </c>
      <c r="F11" s="100">
        <v>596</v>
      </c>
      <c r="G11" s="100">
        <v>411</v>
      </c>
      <c r="H11" s="100">
        <v>185</v>
      </c>
    </row>
    <row r="12" spans="1:10" ht="15.75">
      <c r="A12" s="73" t="s">
        <v>548</v>
      </c>
    </row>
    <row r="14" spans="1:10">
      <c r="B14" s="80"/>
    </row>
    <row r="15" spans="1:10">
      <c r="B15" s="80"/>
    </row>
    <row r="16" spans="1:10" ht="15" customHeight="1">
      <c r="B16" s="80"/>
      <c r="C16" s="80"/>
      <c r="D16" s="80"/>
    </row>
    <row r="17" spans="2:4" ht="15" customHeight="1">
      <c r="B17" s="80"/>
      <c r="C17" s="81"/>
      <c r="D17" s="81"/>
    </row>
    <row r="18" spans="2:4">
      <c r="B18" s="80"/>
      <c r="C18" s="81"/>
      <c r="D18" s="81"/>
    </row>
    <row r="19" spans="2:4">
      <c r="B19" s="80"/>
      <c r="C19" s="81"/>
      <c r="D19" s="81"/>
    </row>
    <row r="20" spans="2:4">
      <c r="B20" s="80"/>
      <c r="C20" s="81"/>
      <c r="D20" s="81"/>
    </row>
    <row r="21" spans="2:4">
      <c r="B21" s="80"/>
      <c r="C21" s="81"/>
      <c r="D21" s="81"/>
    </row>
    <row r="22" spans="2:4">
      <c r="B22" s="80"/>
      <c r="C22" s="81"/>
      <c r="D22" s="81"/>
    </row>
    <row r="23" spans="2:4">
      <c r="B23" s="80"/>
      <c r="C23" s="81"/>
      <c r="D23" s="81"/>
    </row>
  </sheetData>
  <mergeCells count="6">
    <mergeCell ref="A4:B4"/>
    <mergeCell ref="A1:H1"/>
    <mergeCell ref="A2:A3"/>
    <mergeCell ref="B2:B3"/>
    <mergeCell ref="C2:E2"/>
    <mergeCell ref="F2:H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O18"/>
  <sheetViews>
    <sheetView topLeftCell="A7" workbookViewId="0">
      <selection activeCell="F20" sqref="F20"/>
    </sheetView>
  </sheetViews>
  <sheetFormatPr defaultRowHeight="15"/>
  <cols>
    <col min="1" max="1" width="6.7109375" style="146" customWidth="1"/>
    <col min="2" max="2" width="13.140625" style="145" customWidth="1"/>
    <col min="3" max="3" width="9.140625" style="145"/>
    <col min="4" max="4" width="9.85546875" style="145" customWidth="1"/>
    <col min="5" max="5" width="10.7109375" style="145" customWidth="1"/>
    <col min="6" max="6" width="11.28515625" style="145" customWidth="1"/>
    <col min="7" max="12" width="9.140625" style="145"/>
    <col min="13" max="13" width="10.85546875" style="145" customWidth="1"/>
    <col min="14" max="16384" width="9.140625" style="145"/>
  </cols>
  <sheetData>
    <row r="1" spans="1:15" s="142" customFormat="1" ht="22.5" customHeight="1">
      <c r="A1" s="413" t="s">
        <v>522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304"/>
    </row>
    <row r="2" spans="1:15" s="142" customFormat="1" ht="25.5" customHeight="1">
      <c r="A2" s="414" t="s">
        <v>270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</row>
    <row r="3" spans="1:15" s="143" customFormat="1" ht="15.75">
      <c r="A3" s="416" t="s">
        <v>0</v>
      </c>
      <c r="B3" s="418" t="s">
        <v>14</v>
      </c>
      <c r="C3" s="415" t="s">
        <v>17</v>
      </c>
      <c r="D3" s="415"/>
      <c r="E3" s="415"/>
      <c r="F3" s="415"/>
      <c r="G3" s="415" t="s">
        <v>18</v>
      </c>
      <c r="H3" s="415"/>
      <c r="I3" s="415"/>
      <c r="J3" s="415"/>
      <c r="K3" s="415" t="s">
        <v>550</v>
      </c>
      <c r="L3" s="415"/>
      <c r="M3" s="415"/>
      <c r="N3" s="415"/>
    </row>
    <row r="4" spans="1:15" s="143" customFormat="1" ht="45">
      <c r="A4" s="417"/>
      <c r="B4" s="419"/>
      <c r="C4" s="147" t="s">
        <v>271</v>
      </c>
      <c r="D4" s="147" t="s">
        <v>272</v>
      </c>
      <c r="E4" s="147" t="s">
        <v>273</v>
      </c>
      <c r="F4" s="147" t="s">
        <v>274</v>
      </c>
      <c r="G4" s="147" t="s">
        <v>275</v>
      </c>
      <c r="H4" s="147" t="s">
        <v>276</v>
      </c>
      <c r="I4" s="147" t="s">
        <v>273</v>
      </c>
      <c r="J4" s="147" t="s">
        <v>274</v>
      </c>
      <c r="K4" s="147" t="s">
        <v>271</v>
      </c>
      <c r="L4" s="147" t="s">
        <v>272</v>
      </c>
      <c r="M4" s="147" t="s">
        <v>277</v>
      </c>
      <c r="N4" s="147" t="s">
        <v>278</v>
      </c>
    </row>
    <row r="5" spans="1:15" s="142" customFormat="1" ht="26.45" customHeight="1">
      <c r="A5" s="148">
        <v>1</v>
      </c>
      <c r="B5" s="149" t="s">
        <v>30</v>
      </c>
      <c r="C5" s="150">
        <v>2.2012820444661974</v>
      </c>
      <c r="D5" s="150">
        <v>1.1853057162510294</v>
      </c>
      <c r="E5" s="148">
        <v>0</v>
      </c>
      <c r="F5" s="148">
        <v>0</v>
      </c>
      <c r="G5" s="150">
        <v>4.7284825600162899</v>
      </c>
      <c r="H5" s="150">
        <v>0.86302058994162356</v>
      </c>
      <c r="I5" s="148">
        <v>0</v>
      </c>
      <c r="J5" s="148">
        <v>0</v>
      </c>
      <c r="K5" s="150">
        <v>3.5317957498821029</v>
      </c>
      <c r="L5" s="150">
        <v>1.0156299129390698</v>
      </c>
      <c r="M5" s="148">
        <v>0</v>
      </c>
      <c r="N5" s="148">
        <v>0</v>
      </c>
    </row>
    <row r="6" spans="1:15" s="142" customFormat="1" ht="26.45" customHeight="1">
      <c r="A6" s="148">
        <v>2</v>
      </c>
      <c r="B6" s="149" t="s">
        <v>26</v>
      </c>
      <c r="C6" s="150">
        <v>1.7463592673568853</v>
      </c>
      <c r="D6" s="150">
        <v>0.80215545294861723</v>
      </c>
      <c r="E6" s="150">
        <v>3.3423143872859051E-2</v>
      </c>
      <c r="F6" s="148">
        <v>0</v>
      </c>
      <c r="G6" s="150">
        <v>12.792776192159748</v>
      </c>
      <c r="H6" s="150">
        <v>1.500828491817624</v>
      </c>
      <c r="I6" s="150">
        <v>7.1468023419886853E-2</v>
      </c>
      <c r="J6" s="148">
        <v>0</v>
      </c>
      <c r="K6" s="150">
        <v>3.8398480198589953</v>
      </c>
      <c r="L6" s="150">
        <v>0.93456618472758612</v>
      </c>
      <c r="M6" s="150">
        <v>4.0633312379460301E-2</v>
      </c>
      <c r="N6" s="148">
        <v>0</v>
      </c>
    </row>
    <row r="7" spans="1:15" s="142" customFormat="1" ht="26.45" customHeight="1">
      <c r="A7" s="148">
        <v>3</v>
      </c>
      <c r="B7" s="149" t="s">
        <v>22</v>
      </c>
      <c r="C7" s="150">
        <v>1.6359227603797684</v>
      </c>
      <c r="D7" s="150">
        <v>1.074809156578012</v>
      </c>
      <c r="E7" s="148">
        <v>0</v>
      </c>
      <c r="F7" s="148">
        <v>0</v>
      </c>
      <c r="G7" s="150">
        <v>3.041462973350721</v>
      </c>
      <c r="H7" s="150">
        <v>2.962668595802775</v>
      </c>
      <c r="I7" s="148">
        <v>0</v>
      </c>
      <c r="J7" s="148">
        <v>0</v>
      </c>
      <c r="K7" s="150">
        <v>2.105369582521154</v>
      </c>
      <c r="L7" s="150">
        <v>1.7053493618421347</v>
      </c>
      <c r="M7" s="148">
        <v>0</v>
      </c>
      <c r="N7" s="148">
        <v>0</v>
      </c>
    </row>
    <row r="8" spans="1:15" s="142" customFormat="1" ht="26.45" customHeight="1">
      <c r="A8" s="148">
        <v>4</v>
      </c>
      <c r="B8" s="149" t="s">
        <v>24</v>
      </c>
      <c r="C8" s="150">
        <v>0.25351972039670634</v>
      </c>
      <c r="D8" s="150">
        <v>9.9597033012991776E-2</v>
      </c>
      <c r="E8" s="148">
        <v>0</v>
      </c>
      <c r="F8" s="148">
        <v>0</v>
      </c>
      <c r="G8" s="150">
        <v>0.82788795984662811</v>
      </c>
      <c r="H8" s="150">
        <v>0.52683779262967245</v>
      </c>
      <c r="I8" s="148">
        <v>0</v>
      </c>
      <c r="J8" s="148">
        <v>0</v>
      </c>
      <c r="K8" s="150">
        <v>0.40584004282114966</v>
      </c>
      <c r="L8" s="150">
        <v>0.21289969459470146</v>
      </c>
      <c r="M8" s="148">
        <v>0</v>
      </c>
      <c r="N8" s="148">
        <v>0</v>
      </c>
    </row>
    <row r="9" spans="1:15" s="142" customFormat="1" ht="26.45" customHeight="1">
      <c r="A9" s="148">
        <v>5</v>
      </c>
      <c r="B9" s="149" t="s">
        <v>23</v>
      </c>
      <c r="C9" s="150">
        <v>0.51638996258674341</v>
      </c>
      <c r="D9" s="150">
        <v>0.3920738604825274</v>
      </c>
      <c r="E9" s="148">
        <v>0</v>
      </c>
      <c r="F9" s="148">
        <v>0</v>
      </c>
      <c r="G9" s="150">
        <v>2.1001840885945122</v>
      </c>
      <c r="H9" s="150">
        <v>3.9776213799138485</v>
      </c>
      <c r="I9" s="148">
        <v>0</v>
      </c>
      <c r="J9" s="148">
        <v>0</v>
      </c>
      <c r="K9" s="150">
        <v>0.88236624221169302</v>
      </c>
      <c r="L9" s="150">
        <v>1.2206066350595086</v>
      </c>
      <c r="M9" s="148">
        <v>0</v>
      </c>
      <c r="N9" s="148">
        <v>0</v>
      </c>
    </row>
    <row r="10" spans="1:15" s="142" customFormat="1" ht="26.45" customHeight="1">
      <c r="A10" s="148">
        <v>6</v>
      </c>
      <c r="B10" s="149" t="s">
        <v>27</v>
      </c>
      <c r="C10" s="150">
        <v>1.9941219968762172</v>
      </c>
      <c r="D10" s="150">
        <v>0.5303515949138875</v>
      </c>
      <c r="E10" s="148">
        <v>0</v>
      </c>
      <c r="F10" s="148">
        <v>0</v>
      </c>
      <c r="G10" s="150">
        <v>3.8446809534255029</v>
      </c>
      <c r="H10" s="150">
        <v>2.1969605448145728</v>
      </c>
      <c r="I10" s="148">
        <v>0</v>
      </c>
      <c r="J10" s="148">
        <v>0</v>
      </c>
      <c r="K10" s="150">
        <v>2.4169130589708407</v>
      </c>
      <c r="L10" s="150">
        <v>0.91111620958945927</v>
      </c>
      <c r="M10" s="148">
        <v>0</v>
      </c>
      <c r="N10" s="148">
        <v>0</v>
      </c>
    </row>
    <row r="11" spans="1:15" s="142" customFormat="1" ht="26.45" customHeight="1">
      <c r="A11" s="148">
        <v>7</v>
      </c>
      <c r="B11" s="149" t="s">
        <v>21</v>
      </c>
      <c r="C11" s="150">
        <v>1.300735566289823</v>
      </c>
      <c r="D11" s="150">
        <v>0.16615235335818909</v>
      </c>
      <c r="E11" s="148">
        <v>0</v>
      </c>
      <c r="F11" s="148">
        <v>0</v>
      </c>
      <c r="G11" s="150">
        <v>4.8441247873839668</v>
      </c>
      <c r="H11" s="150">
        <v>3.5438597128756388</v>
      </c>
      <c r="I11" s="148">
        <v>0</v>
      </c>
      <c r="J11" s="148">
        <v>0</v>
      </c>
      <c r="K11" s="150">
        <v>1.8569447222031978</v>
      </c>
      <c r="L11" s="150">
        <v>0.69635427082619905</v>
      </c>
      <c r="M11" s="148">
        <v>0</v>
      </c>
      <c r="N11" s="148">
        <v>0</v>
      </c>
    </row>
    <row r="12" spans="1:15" s="142" customFormat="1" ht="26.45" customHeight="1">
      <c r="A12" s="148">
        <v>8</v>
      </c>
      <c r="B12" s="149" t="s">
        <v>25</v>
      </c>
      <c r="C12" s="150">
        <v>1.8461520605101367</v>
      </c>
      <c r="D12" s="150">
        <v>5.0753321251137774E-2</v>
      </c>
      <c r="E12" s="148">
        <v>0</v>
      </c>
      <c r="F12" s="148">
        <v>0</v>
      </c>
      <c r="G12" s="150">
        <v>12.173721176678566</v>
      </c>
      <c r="H12" s="150">
        <v>5.1348871313952245</v>
      </c>
      <c r="I12" s="148">
        <v>0</v>
      </c>
      <c r="J12" s="148">
        <v>0</v>
      </c>
      <c r="K12" s="150">
        <v>7.9227764674153729</v>
      </c>
      <c r="L12" s="150">
        <v>3.0421999289844788</v>
      </c>
      <c r="M12" s="148">
        <v>0</v>
      </c>
      <c r="N12" s="148">
        <v>0</v>
      </c>
    </row>
    <row r="13" spans="1:15" s="142" customFormat="1" ht="26.45" customHeight="1">
      <c r="A13" s="148">
        <v>9</v>
      </c>
      <c r="B13" s="149" t="s">
        <v>31</v>
      </c>
      <c r="C13" s="150">
        <v>0.66742139660198962</v>
      </c>
      <c r="D13" s="150">
        <v>0.15704032861223283</v>
      </c>
      <c r="E13" s="148">
        <v>0</v>
      </c>
      <c r="F13" s="148">
        <v>0</v>
      </c>
      <c r="G13" s="150">
        <v>6.2407546846731154</v>
      </c>
      <c r="H13" s="150">
        <v>0.44576819176236537</v>
      </c>
      <c r="I13" s="148">
        <v>0</v>
      </c>
      <c r="J13" s="148">
        <v>0</v>
      </c>
      <c r="K13" s="150">
        <v>1.6175130560191966</v>
      </c>
      <c r="L13" s="150">
        <v>0.20626005412325324</v>
      </c>
      <c r="M13" s="148">
        <v>0</v>
      </c>
      <c r="N13" s="148">
        <v>0</v>
      </c>
    </row>
    <row r="14" spans="1:15" s="142" customFormat="1" ht="26.45" customHeight="1">
      <c r="A14" s="148">
        <v>10</v>
      </c>
      <c r="B14" s="149" t="s">
        <v>28</v>
      </c>
      <c r="C14" s="150">
        <v>0.67391882187712415</v>
      </c>
      <c r="D14" s="150">
        <v>0.52950764576059761</v>
      </c>
      <c r="E14" s="148">
        <v>0</v>
      </c>
      <c r="F14" s="148">
        <v>0</v>
      </c>
      <c r="G14" s="150">
        <v>2.9991129360394524</v>
      </c>
      <c r="H14" s="150">
        <v>0</v>
      </c>
      <c r="I14" s="148">
        <v>0</v>
      </c>
      <c r="J14" s="148">
        <v>0</v>
      </c>
      <c r="K14" s="150">
        <v>1.0753274677043942</v>
      </c>
      <c r="L14" s="150">
        <v>0.43809637573141985</v>
      </c>
      <c r="M14" s="148">
        <v>0</v>
      </c>
      <c r="N14" s="148">
        <v>0</v>
      </c>
    </row>
    <row r="15" spans="1:15" s="142" customFormat="1" ht="26.45" customHeight="1">
      <c r="A15" s="148">
        <v>11</v>
      </c>
      <c r="B15" s="149" t="s">
        <v>29</v>
      </c>
      <c r="C15" s="150">
        <v>8.7245096507801143E-2</v>
      </c>
      <c r="D15" s="150">
        <v>0</v>
      </c>
      <c r="E15" s="148">
        <v>0</v>
      </c>
      <c r="F15" s="148">
        <v>0</v>
      </c>
      <c r="G15" s="150">
        <v>0.63916783242932718</v>
      </c>
      <c r="H15" s="150">
        <v>1.810975525216427</v>
      </c>
      <c r="I15" s="148">
        <v>0</v>
      </c>
      <c r="J15" s="148">
        <v>0</v>
      </c>
      <c r="K15" s="150">
        <v>0.24759270055190066</v>
      </c>
      <c r="L15" s="150">
        <v>0.52613448867278889</v>
      </c>
      <c r="M15" s="148">
        <v>0</v>
      </c>
      <c r="N15" s="148">
        <v>0</v>
      </c>
    </row>
    <row r="16" spans="1:15" s="142" customFormat="1" ht="26.45" customHeight="1">
      <c r="A16" s="411" t="s">
        <v>279</v>
      </c>
      <c r="B16" s="412"/>
      <c r="C16" s="150">
        <v>1.3513431316346229</v>
      </c>
      <c r="D16" s="150">
        <v>0.46315875705054976</v>
      </c>
      <c r="E16" s="151">
        <v>3.1777616264188663E-3</v>
      </c>
      <c r="F16" s="152">
        <v>0</v>
      </c>
      <c r="G16" s="150">
        <v>6.9703559349980004</v>
      </c>
      <c r="H16" s="152">
        <v>2.9591714075322488</v>
      </c>
      <c r="I16" s="151">
        <v>3.0760617541915271E-3</v>
      </c>
      <c r="J16" s="152">
        <v>0</v>
      </c>
      <c r="K16" s="152">
        <v>3.2651805483761458</v>
      </c>
      <c r="L16" s="152">
        <v>1.3133014013763833</v>
      </c>
      <c r="M16" s="151">
        <v>3.0760617541915271E-3</v>
      </c>
      <c r="N16" s="152">
        <v>0</v>
      </c>
    </row>
    <row r="18" spans="1:6" ht="15.75">
      <c r="A18" s="55" t="s">
        <v>179</v>
      </c>
      <c r="B18" s="144"/>
      <c r="C18" s="144"/>
      <c r="D18" s="144"/>
      <c r="E18" s="144"/>
      <c r="F18" s="144"/>
    </row>
  </sheetData>
  <mergeCells count="8">
    <mergeCell ref="A16:B16"/>
    <mergeCell ref="A1:N1"/>
    <mergeCell ref="A2:N2"/>
    <mergeCell ref="C3:F3"/>
    <mergeCell ref="G3:J3"/>
    <mergeCell ref="K3:N3"/>
    <mergeCell ref="A3:A4"/>
    <mergeCell ref="B3:B4"/>
  </mergeCells>
  <pageMargins left="0.46" right="0.28000000000000003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6">
    <pageSetUpPr fitToPage="1"/>
  </sheetPr>
  <dimension ref="A1:K50"/>
  <sheetViews>
    <sheetView topLeftCell="A31" workbookViewId="0">
      <selection activeCell="N46" sqref="N46"/>
    </sheetView>
  </sheetViews>
  <sheetFormatPr defaultRowHeight="12.75"/>
  <cols>
    <col min="1" max="1" width="7.5703125" style="66" customWidth="1"/>
    <col min="2" max="2" width="13.7109375" style="66" customWidth="1"/>
    <col min="3" max="3" width="8.7109375" style="66" customWidth="1"/>
    <col min="4" max="4" width="8.42578125" style="66" customWidth="1"/>
    <col min="5" max="5" width="8.140625" style="66" customWidth="1"/>
    <col min="6" max="6" width="9.140625" style="66"/>
    <col min="7" max="7" width="8.140625" style="66" customWidth="1"/>
    <col min="8" max="8" width="8" style="66" customWidth="1"/>
    <col min="9" max="9" width="7.85546875" style="66" customWidth="1"/>
    <col min="10" max="10" width="8.28515625" style="66" customWidth="1"/>
    <col min="11" max="11" width="7.28515625" style="66" customWidth="1"/>
    <col min="12" max="248" width="9.140625" style="66"/>
    <col min="249" max="249" width="7.5703125" style="66" customWidth="1"/>
    <col min="250" max="250" width="13.7109375" style="66" customWidth="1"/>
    <col min="251" max="251" width="8.7109375" style="66" customWidth="1"/>
    <col min="252" max="252" width="8.42578125" style="66" customWidth="1"/>
    <col min="253" max="253" width="8.140625" style="66" customWidth="1"/>
    <col min="254" max="254" width="9.140625" style="66"/>
    <col min="255" max="255" width="8.140625" style="66" customWidth="1"/>
    <col min="256" max="256" width="8" style="66" customWidth="1"/>
    <col min="257" max="257" width="7.85546875" style="66" customWidth="1"/>
    <col min="258" max="258" width="8.28515625" style="66" customWidth="1"/>
    <col min="259" max="259" width="7.28515625" style="66" customWidth="1"/>
    <col min="260" max="260" width="9.140625" style="66" customWidth="1"/>
    <col min="261" max="261" width="7" style="66" customWidth="1"/>
    <col min="262" max="262" width="7.5703125" style="66" customWidth="1"/>
    <col min="263" max="504" width="9.140625" style="66"/>
    <col min="505" max="505" width="7.5703125" style="66" customWidth="1"/>
    <col min="506" max="506" width="13.7109375" style="66" customWidth="1"/>
    <col min="507" max="507" width="8.7109375" style="66" customWidth="1"/>
    <col min="508" max="508" width="8.42578125" style="66" customWidth="1"/>
    <col min="509" max="509" width="8.140625" style="66" customWidth="1"/>
    <col min="510" max="510" width="9.140625" style="66"/>
    <col min="511" max="511" width="8.140625" style="66" customWidth="1"/>
    <col min="512" max="512" width="8" style="66" customWidth="1"/>
    <col min="513" max="513" width="7.85546875" style="66" customWidth="1"/>
    <col min="514" max="514" width="8.28515625" style="66" customWidth="1"/>
    <col min="515" max="515" width="7.28515625" style="66" customWidth="1"/>
    <col min="516" max="516" width="9.140625" style="66" customWidth="1"/>
    <col min="517" max="517" width="7" style="66" customWidth="1"/>
    <col min="518" max="518" width="7.5703125" style="66" customWidth="1"/>
    <col min="519" max="760" width="9.140625" style="66"/>
    <col min="761" max="761" width="7.5703125" style="66" customWidth="1"/>
    <col min="762" max="762" width="13.7109375" style="66" customWidth="1"/>
    <col min="763" max="763" width="8.7109375" style="66" customWidth="1"/>
    <col min="764" max="764" width="8.42578125" style="66" customWidth="1"/>
    <col min="765" max="765" width="8.140625" style="66" customWidth="1"/>
    <col min="766" max="766" width="9.140625" style="66"/>
    <col min="767" max="767" width="8.140625" style="66" customWidth="1"/>
    <col min="768" max="768" width="8" style="66" customWidth="1"/>
    <col min="769" max="769" width="7.85546875" style="66" customWidth="1"/>
    <col min="770" max="770" width="8.28515625" style="66" customWidth="1"/>
    <col min="771" max="771" width="7.28515625" style="66" customWidth="1"/>
    <col min="772" max="772" width="9.140625" style="66" customWidth="1"/>
    <col min="773" max="773" width="7" style="66" customWidth="1"/>
    <col min="774" max="774" width="7.5703125" style="66" customWidth="1"/>
    <col min="775" max="1016" width="9.140625" style="66"/>
    <col min="1017" max="1017" width="7.5703125" style="66" customWidth="1"/>
    <col min="1018" max="1018" width="13.7109375" style="66" customWidth="1"/>
    <col min="1019" max="1019" width="8.7109375" style="66" customWidth="1"/>
    <col min="1020" max="1020" width="8.42578125" style="66" customWidth="1"/>
    <col min="1021" max="1021" width="8.140625" style="66" customWidth="1"/>
    <col min="1022" max="1022" width="9.140625" style="66"/>
    <col min="1023" max="1023" width="8.140625" style="66" customWidth="1"/>
    <col min="1024" max="1024" width="8" style="66" customWidth="1"/>
    <col min="1025" max="1025" width="7.85546875" style="66" customWidth="1"/>
    <col min="1026" max="1026" width="8.28515625" style="66" customWidth="1"/>
    <col min="1027" max="1027" width="7.28515625" style="66" customWidth="1"/>
    <col min="1028" max="1028" width="9.140625" style="66" customWidth="1"/>
    <col min="1029" max="1029" width="7" style="66" customWidth="1"/>
    <col min="1030" max="1030" width="7.5703125" style="66" customWidth="1"/>
    <col min="1031" max="1272" width="9.140625" style="66"/>
    <col min="1273" max="1273" width="7.5703125" style="66" customWidth="1"/>
    <col min="1274" max="1274" width="13.7109375" style="66" customWidth="1"/>
    <col min="1275" max="1275" width="8.7109375" style="66" customWidth="1"/>
    <col min="1276" max="1276" width="8.42578125" style="66" customWidth="1"/>
    <col min="1277" max="1277" width="8.140625" style="66" customWidth="1"/>
    <col min="1278" max="1278" width="9.140625" style="66"/>
    <col min="1279" max="1279" width="8.140625" style="66" customWidth="1"/>
    <col min="1280" max="1280" width="8" style="66" customWidth="1"/>
    <col min="1281" max="1281" width="7.85546875" style="66" customWidth="1"/>
    <col min="1282" max="1282" width="8.28515625" style="66" customWidth="1"/>
    <col min="1283" max="1283" width="7.28515625" style="66" customWidth="1"/>
    <col min="1284" max="1284" width="9.140625" style="66" customWidth="1"/>
    <col min="1285" max="1285" width="7" style="66" customWidth="1"/>
    <col min="1286" max="1286" width="7.5703125" style="66" customWidth="1"/>
    <col min="1287" max="1528" width="9.140625" style="66"/>
    <col min="1529" max="1529" width="7.5703125" style="66" customWidth="1"/>
    <col min="1530" max="1530" width="13.7109375" style="66" customWidth="1"/>
    <col min="1531" max="1531" width="8.7109375" style="66" customWidth="1"/>
    <col min="1532" max="1532" width="8.42578125" style="66" customWidth="1"/>
    <col min="1533" max="1533" width="8.140625" style="66" customWidth="1"/>
    <col min="1534" max="1534" width="9.140625" style="66"/>
    <col min="1535" max="1535" width="8.140625" style="66" customWidth="1"/>
    <col min="1536" max="1536" width="8" style="66" customWidth="1"/>
    <col min="1537" max="1537" width="7.85546875" style="66" customWidth="1"/>
    <col min="1538" max="1538" width="8.28515625" style="66" customWidth="1"/>
    <col min="1539" max="1539" width="7.28515625" style="66" customWidth="1"/>
    <col min="1540" max="1540" width="9.140625" style="66" customWidth="1"/>
    <col min="1541" max="1541" width="7" style="66" customWidth="1"/>
    <col min="1542" max="1542" width="7.5703125" style="66" customWidth="1"/>
    <col min="1543" max="1784" width="9.140625" style="66"/>
    <col min="1785" max="1785" width="7.5703125" style="66" customWidth="1"/>
    <col min="1786" max="1786" width="13.7109375" style="66" customWidth="1"/>
    <col min="1787" max="1787" width="8.7109375" style="66" customWidth="1"/>
    <col min="1788" max="1788" width="8.42578125" style="66" customWidth="1"/>
    <col min="1789" max="1789" width="8.140625" style="66" customWidth="1"/>
    <col min="1790" max="1790" width="9.140625" style="66"/>
    <col min="1791" max="1791" width="8.140625" style="66" customWidth="1"/>
    <col min="1792" max="1792" width="8" style="66" customWidth="1"/>
    <col min="1793" max="1793" width="7.85546875" style="66" customWidth="1"/>
    <col min="1794" max="1794" width="8.28515625" style="66" customWidth="1"/>
    <col min="1795" max="1795" width="7.28515625" style="66" customWidth="1"/>
    <col min="1796" max="1796" width="9.140625" style="66" customWidth="1"/>
    <col min="1797" max="1797" width="7" style="66" customWidth="1"/>
    <col min="1798" max="1798" width="7.5703125" style="66" customWidth="1"/>
    <col min="1799" max="2040" width="9.140625" style="66"/>
    <col min="2041" max="2041" width="7.5703125" style="66" customWidth="1"/>
    <col min="2042" max="2042" width="13.7109375" style="66" customWidth="1"/>
    <col min="2043" max="2043" width="8.7109375" style="66" customWidth="1"/>
    <col min="2044" max="2044" width="8.42578125" style="66" customWidth="1"/>
    <col min="2045" max="2045" width="8.140625" style="66" customWidth="1"/>
    <col min="2046" max="2046" width="9.140625" style="66"/>
    <col min="2047" max="2047" width="8.140625" style="66" customWidth="1"/>
    <col min="2048" max="2048" width="8" style="66" customWidth="1"/>
    <col min="2049" max="2049" width="7.85546875" style="66" customWidth="1"/>
    <col min="2050" max="2050" width="8.28515625" style="66" customWidth="1"/>
    <col min="2051" max="2051" width="7.28515625" style="66" customWidth="1"/>
    <col min="2052" max="2052" width="9.140625" style="66" customWidth="1"/>
    <col min="2053" max="2053" width="7" style="66" customWidth="1"/>
    <col min="2054" max="2054" width="7.5703125" style="66" customWidth="1"/>
    <col min="2055" max="2296" width="9.140625" style="66"/>
    <col min="2297" max="2297" width="7.5703125" style="66" customWidth="1"/>
    <col min="2298" max="2298" width="13.7109375" style="66" customWidth="1"/>
    <col min="2299" max="2299" width="8.7109375" style="66" customWidth="1"/>
    <col min="2300" max="2300" width="8.42578125" style="66" customWidth="1"/>
    <col min="2301" max="2301" width="8.140625" style="66" customWidth="1"/>
    <col min="2302" max="2302" width="9.140625" style="66"/>
    <col min="2303" max="2303" width="8.140625" style="66" customWidth="1"/>
    <col min="2304" max="2304" width="8" style="66" customWidth="1"/>
    <col min="2305" max="2305" width="7.85546875" style="66" customWidth="1"/>
    <col min="2306" max="2306" width="8.28515625" style="66" customWidth="1"/>
    <col min="2307" max="2307" width="7.28515625" style="66" customWidth="1"/>
    <col min="2308" max="2308" width="9.140625" style="66" customWidth="1"/>
    <col min="2309" max="2309" width="7" style="66" customWidth="1"/>
    <col min="2310" max="2310" width="7.5703125" style="66" customWidth="1"/>
    <col min="2311" max="2552" width="9.140625" style="66"/>
    <col min="2553" max="2553" width="7.5703125" style="66" customWidth="1"/>
    <col min="2554" max="2554" width="13.7109375" style="66" customWidth="1"/>
    <col min="2555" max="2555" width="8.7109375" style="66" customWidth="1"/>
    <col min="2556" max="2556" width="8.42578125" style="66" customWidth="1"/>
    <col min="2557" max="2557" width="8.140625" style="66" customWidth="1"/>
    <col min="2558" max="2558" width="9.140625" style="66"/>
    <col min="2559" max="2559" width="8.140625" style="66" customWidth="1"/>
    <col min="2560" max="2560" width="8" style="66" customWidth="1"/>
    <col min="2561" max="2561" width="7.85546875" style="66" customWidth="1"/>
    <col min="2562" max="2562" width="8.28515625" style="66" customWidth="1"/>
    <col min="2563" max="2563" width="7.28515625" style="66" customWidth="1"/>
    <col min="2564" max="2564" width="9.140625" style="66" customWidth="1"/>
    <col min="2565" max="2565" width="7" style="66" customWidth="1"/>
    <col min="2566" max="2566" width="7.5703125" style="66" customWidth="1"/>
    <col min="2567" max="2808" width="9.140625" style="66"/>
    <col min="2809" max="2809" width="7.5703125" style="66" customWidth="1"/>
    <col min="2810" max="2810" width="13.7109375" style="66" customWidth="1"/>
    <col min="2811" max="2811" width="8.7109375" style="66" customWidth="1"/>
    <col min="2812" max="2812" width="8.42578125" style="66" customWidth="1"/>
    <col min="2813" max="2813" width="8.140625" style="66" customWidth="1"/>
    <col min="2814" max="2814" width="9.140625" style="66"/>
    <col min="2815" max="2815" width="8.140625" style="66" customWidth="1"/>
    <col min="2816" max="2816" width="8" style="66" customWidth="1"/>
    <col min="2817" max="2817" width="7.85546875" style="66" customWidth="1"/>
    <col min="2818" max="2818" width="8.28515625" style="66" customWidth="1"/>
    <col min="2819" max="2819" width="7.28515625" style="66" customWidth="1"/>
    <col min="2820" max="2820" width="9.140625" style="66" customWidth="1"/>
    <col min="2821" max="2821" width="7" style="66" customWidth="1"/>
    <col min="2822" max="2822" width="7.5703125" style="66" customWidth="1"/>
    <col min="2823" max="3064" width="9.140625" style="66"/>
    <col min="3065" max="3065" width="7.5703125" style="66" customWidth="1"/>
    <col min="3066" max="3066" width="13.7109375" style="66" customWidth="1"/>
    <col min="3067" max="3067" width="8.7109375" style="66" customWidth="1"/>
    <col min="3068" max="3068" width="8.42578125" style="66" customWidth="1"/>
    <col min="3069" max="3069" width="8.140625" style="66" customWidth="1"/>
    <col min="3070" max="3070" width="9.140625" style="66"/>
    <col min="3071" max="3071" width="8.140625" style="66" customWidth="1"/>
    <col min="3072" max="3072" width="8" style="66" customWidth="1"/>
    <col min="3073" max="3073" width="7.85546875" style="66" customWidth="1"/>
    <col min="3074" max="3074" width="8.28515625" style="66" customWidth="1"/>
    <col min="3075" max="3075" width="7.28515625" style="66" customWidth="1"/>
    <col min="3076" max="3076" width="9.140625" style="66" customWidth="1"/>
    <col min="3077" max="3077" width="7" style="66" customWidth="1"/>
    <col min="3078" max="3078" width="7.5703125" style="66" customWidth="1"/>
    <col min="3079" max="3320" width="9.140625" style="66"/>
    <col min="3321" max="3321" width="7.5703125" style="66" customWidth="1"/>
    <col min="3322" max="3322" width="13.7109375" style="66" customWidth="1"/>
    <col min="3323" max="3323" width="8.7109375" style="66" customWidth="1"/>
    <col min="3324" max="3324" width="8.42578125" style="66" customWidth="1"/>
    <col min="3325" max="3325" width="8.140625" style="66" customWidth="1"/>
    <col min="3326" max="3326" width="9.140625" style="66"/>
    <col min="3327" max="3327" width="8.140625" style="66" customWidth="1"/>
    <col min="3328" max="3328" width="8" style="66" customWidth="1"/>
    <col min="3329" max="3329" width="7.85546875" style="66" customWidth="1"/>
    <col min="3330" max="3330" width="8.28515625" style="66" customWidth="1"/>
    <col min="3331" max="3331" width="7.28515625" style="66" customWidth="1"/>
    <col min="3332" max="3332" width="9.140625" style="66" customWidth="1"/>
    <col min="3333" max="3333" width="7" style="66" customWidth="1"/>
    <col min="3334" max="3334" width="7.5703125" style="66" customWidth="1"/>
    <col min="3335" max="3576" width="9.140625" style="66"/>
    <col min="3577" max="3577" width="7.5703125" style="66" customWidth="1"/>
    <col min="3578" max="3578" width="13.7109375" style="66" customWidth="1"/>
    <col min="3579" max="3579" width="8.7109375" style="66" customWidth="1"/>
    <col min="3580" max="3580" width="8.42578125" style="66" customWidth="1"/>
    <col min="3581" max="3581" width="8.140625" style="66" customWidth="1"/>
    <col min="3582" max="3582" width="9.140625" style="66"/>
    <col min="3583" max="3583" width="8.140625" style="66" customWidth="1"/>
    <col min="3584" max="3584" width="8" style="66" customWidth="1"/>
    <col min="3585" max="3585" width="7.85546875" style="66" customWidth="1"/>
    <col min="3586" max="3586" width="8.28515625" style="66" customWidth="1"/>
    <col min="3587" max="3587" width="7.28515625" style="66" customWidth="1"/>
    <col min="3588" max="3588" width="9.140625" style="66" customWidth="1"/>
    <col min="3589" max="3589" width="7" style="66" customWidth="1"/>
    <col min="3590" max="3590" width="7.5703125" style="66" customWidth="1"/>
    <col min="3591" max="3832" width="9.140625" style="66"/>
    <col min="3833" max="3833" width="7.5703125" style="66" customWidth="1"/>
    <col min="3834" max="3834" width="13.7109375" style="66" customWidth="1"/>
    <col min="3835" max="3835" width="8.7109375" style="66" customWidth="1"/>
    <col min="3836" max="3836" width="8.42578125" style="66" customWidth="1"/>
    <col min="3837" max="3837" width="8.140625" style="66" customWidth="1"/>
    <col min="3838" max="3838" width="9.140625" style="66"/>
    <col min="3839" max="3839" width="8.140625" style="66" customWidth="1"/>
    <col min="3840" max="3840" width="8" style="66" customWidth="1"/>
    <col min="3841" max="3841" width="7.85546875" style="66" customWidth="1"/>
    <col min="3842" max="3842" width="8.28515625" style="66" customWidth="1"/>
    <col min="3843" max="3843" width="7.28515625" style="66" customWidth="1"/>
    <col min="3844" max="3844" width="9.140625" style="66" customWidth="1"/>
    <col min="3845" max="3845" width="7" style="66" customWidth="1"/>
    <col min="3846" max="3846" width="7.5703125" style="66" customWidth="1"/>
    <col min="3847" max="4088" width="9.140625" style="66"/>
    <col min="4089" max="4089" width="7.5703125" style="66" customWidth="1"/>
    <col min="4090" max="4090" width="13.7109375" style="66" customWidth="1"/>
    <col min="4091" max="4091" width="8.7109375" style="66" customWidth="1"/>
    <col min="4092" max="4092" width="8.42578125" style="66" customWidth="1"/>
    <col min="4093" max="4093" width="8.140625" style="66" customWidth="1"/>
    <col min="4094" max="4094" width="9.140625" style="66"/>
    <col min="4095" max="4095" width="8.140625" style="66" customWidth="1"/>
    <col min="4096" max="4096" width="8" style="66" customWidth="1"/>
    <col min="4097" max="4097" width="7.85546875" style="66" customWidth="1"/>
    <col min="4098" max="4098" width="8.28515625" style="66" customWidth="1"/>
    <col min="4099" max="4099" width="7.28515625" style="66" customWidth="1"/>
    <col min="4100" max="4100" width="9.140625" style="66" customWidth="1"/>
    <col min="4101" max="4101" width="7" style="66" customWidth="1"/>
    <col min="4102" max="4102" width="7.5703125" style="66" customWidth="1"/>
    <col min="4103" max="4344" width="9.140625" style="66"/>
    <col min="4345" max="4345" width="7.5703125" style="66" customWidth="1"/>
    <col min="4346" max="4346" width="13.7109375" style="66" customWidth="1"/>
    <col min="4347" max="4347" width="8.7109375" style="66" customWidth="1"/>
    <col min="4348" max="4348" width="8.42578125" style="66" customWidth="1"/>
    <col min="4349" max="4349" width="8.140625" style="66" customWidth="1"/>
    <col min="4350" max="4350" width="9.140625" style="66"/>
    <col min="4351" max="4351" width="8.140625" style="66" customWidth="1"/>
    <col min="4352" max="4352" width="8" style="66" customWidth="1"/>
    <col min="4353" max="4353" width="7.85546875" style="66" customWidth="1"/>
    <col min="4354" max="4354" width="8.28515625" style="66" customWidth="1"/>
    <col min="4355" max="4355" width="7.28515625" style="66" customWidth="1"/>
    <col min="4356" max="4356" width="9.140625" style="66" customWidth="1"/>
    <col min="4357" max="4357" width="7" style="66" customWidth="1"/>
    <col min="4358" max="4358" width="7.5703125" style="66" customWidth="1"/>
    <col min="4359" max="4600" width="9.140625" style="66"/>
    <col min="4601" max="4601" width="7.5703125" style="66" customWidth="1"/>
    <col min="4602" max="4602" width="13.7109375" style="66" customWidth="1"/>
    <col min="4603" max="4603" width="8.7109375" style="66" customWidth="1"/>
    <col min="4604" max="4604" width="8.42578125" style="66" customWidth="1"/>
    <col min="4605" max="4605" width="8.140625" style="66" customWidth="1"/>
    <col min="4606" max="4606" width="9.140625" style="66"/>
    <col min="4607" max="4607" width="8.140625" style="66" customWidth="1"/>
    <col min="4608" max="4608" width="8" style="66" customWidth="1"/>
    <col min="4609" max="4609" width="7.85546875" style="66" customWidth="1"/>
    <col min="4610" max="4610" width="8.28515625" style="66" customWidth="1"/>
    <col min="4611" max="4611" width="7.28515625" style="66" customWidth="1"/>
    <col min="4612" max="4612" width="9.140625" style="66" customWidth="1"/>
    <col min="4613" max="4613" width="7" style="66" customWidth="1"/>
    <col min="4614" max="4614" width="7.5703125" style="66" customWidth="1"/>
    <col min="4615" max="4856" width="9.140625" style="66"/>
    <col min="4857" max="4857" width="7.5703125" style="66" customWidth="1"/>
    <col min="4858" max="4858" width="13.7109375" style="66" customWidth="1"/>
    <col min="4859" max="4859" width="8.7109375" style="66" customWidth="1"/>
    <col min="4860" max="4860" width="8.42578125" style="66" customWidth="1"/>
    <col min="4861" max="4861" width="8.140625" style="66" customWidth="1"/>
    <col min="4862" max="4862" width="9.140625" style="66"/>
    <col min="4863" max="4863" width="8.140625" style="66" customWidth="1"/>
    <col min="4864" max="4864" width="8" style="66" customWidth="1"/>
    <col min="4865" max="4865" width="7.85546875" style="66" customWidth="1"/>
    <col min="4866" max="4866" width="8.28515625" style="66" customWidth="1"/>
    <col min="4867" max="4867" width="7.28515625" style="66" customWidth="1"/>
    <col min="4868" max="4868" width="9.140625" style="66" customWidth="1"/>
    <col min="4869" max="4869" width="7" style="66" customWidth="1"/>
    <col min="4870" max="4870" width="7.5703125" style="66" customWidth="1"/>
    <col min="4871" max="5112" width="9.140625" style="66"/>
    <col min="5113" max="5113" width="7.5703125" style="66" customWidth="1"/>
    <col min="5114" max="5114" width="13.7109375" style="66" customWidth="1"/>
    <col min="5115" max="5115" width="8.7109375" style="66" customWidth="1"/>
    <col min="5116" max="5116" width="8.42578125" style="66" customWidth="1"/>
    <col min="5117" max="5117" width="8.140625" style="66" customWidth="1"/>
    <col min="5118" max="5118" width="9.140625" style="66"/>
    <col min="5119" max="5119" width="8.140625" style="66" customWidth="1"/>
    <col min="5120" max="5120" width="8" style="66" customWidth="1"/>
    <col min="5121" max="5121" width="7.85546875" style="66" customWidth="1"/>
    <col min="5122" max="5122" width="8.28515625" style="66" customWidth="1"/>
    <col min="5123" max="5123" width="7.28515625" style="66" customWidth="1"/>
    <col min="5124" max="5124" width="9.140625" style="66" customWidth="1"/>
    <col min="5125" max="5125" width="7" style="66" customWidth="1"/>
    <col min="5126" max="5126" width="7.5703125" style="66" customWidth="1"/>
    <col min="5127" max="5368" width="9.140625" style="66"/>
    <col min="5369" max="5369" width="7.5703125" style="66" customWidth="1"/>
    <col min="5370" max="5370" width="13.7109375" style="66" customWidth="1"/>
    <col min="5371" max="5371" width="8.7109375" style="66" customWidth="1"/>
    <col min="5372" max="5372" width="8.42578125" style="66" customWidth="1"/>
    <col min="5373" max="5373" width="8.140625" style="66" customWidth="1"/>
    <col min="5374" max="5374" width="9.140625" style="66"/>
    <col min="5375" max="5375" width="8.140625" style="66" customWidth="1"/>
    <col min="5376" max="5376" width="8" style="66" customWidth="1"/>
    <col min="5377" max="5377" width="7.85546875" style="66" customWidth="1"/>
    <col min="5378" max="5378" width="8.28515625" style="66" customWidth="1"/>
    <col min="5379" max="5379" width="7.28515625" style="66" customWidth="1"/>
    <col min="5380" max="5380" width="9.140625" style="66" customWidth="1"/>
    <col min="5381" max="5381" width="7" style="66" customWidth="1"/>
    <col min="5382" max="5382" width="7.5703125" style="66" customWidth="1"/>
    <col min="5383" max="5624" width="9.140625" style="66"/>
    <col min="5625" max="5625" width="7.5703125" style="66" customWidth="1"/>
    <col min="5626" max="5626" width="13.7109375" style="66" customWidth="1"/>
    <col min="5627" max="5627" width="8.7109375" style="66" customWidth="1"/>
    <col min="5628" max="5628" width="8.42578125" style="66" customWidth="1"/>
    <col min="5629" max="5629" width="8.140625" style="66" customWidth="1"/>
    <col min="5630" max="5630" width="9.140625" style="66"/>
    <col min="5631" max="5631" width="8.140625" style="66" customWidth="1"/>
    <col min="5632" max="5632" width="8" style="66" customWidth="1"/>
    <col min="5633" max="5633" width="7.85546875" style="66" customWidth="1"/>
    <col min="5634" max="5634" width="8.28515625" style="66" customWidth="1"/>
    <col min="5635" max="5635" width="7.28515625" style="66" customWidth="1"/>
    <col min="5636" max="5636" width="9.140625" style="66" customWidth="1"/>
    <col min="5637" max="5637" width="7" style="66" customWidth="1"/>
    <col min="5638" max="5638" width="7.5703125" style="66" customWidth="1"/>
    <col min="5639" max="5880" width="9.140625" style="66"/>
    <col min="5881" max="5881" width="7.5703125" style="66" customWidth="1"/>
    <col min="5882" max="5882" width="13.7109375" style="66" customWidth="1"/>
    <col min="5883" max="5883" width="8.7109375" style="66" customWidth="1"/>
    <col min="5884" max="5884" width="8.42578125" style="66" customWidth="1"/>
    <col min="5885" max="5885" width="8.140625" style="66" customWidth="1"/>
    <col min="5886" max="5886" width="9.140625" style="66"/>
    <col min="5887" max="5887" width="8.140625" style="66" customWidth="1"/>
    <col min="5888" max="5888" width="8" style="66" customWidth="1"/>
    <col min="5889" max="5889" width="7.85546875" style="66" customWidth="1"/>
    <col min="5890" max="5890" width="8.28515625" style="66" customWidth="1"/>
    <col min="5891" max="5891" width="7.28515625" style="66" customWidth="1"/>
    <col min="5892" max="5892" width="9.140625" style="66" customWidth="1"/>
    <col min="5893" max="5893" width="7" style="66" customWidth="1"/>
    <col min="5894" max="5894" width="7.5703125" style="66" customWidth="1"/>
    <col min="5895" max="6136" width="9.140625" style="66"/>
    <col min="6137" max="6137" width="7.5703125" style="66" customWidth="1"/>
    <col min="6138" max="6138" width="13.7109375" style="66" customWidth="1"/>
    <col min="6139" max="6139" width="8.7109375" style="66" customWidth="1"/>
    <col min="6140" max="6140" width="8.42578125" style="66" customWidth="1"/>
    <col min="6141" max="6141" width="8.140625" style="66" customWidth="1"/>
    <col min="6142" max="6142" width="9.140625" style="66"/>
    <col min="6143" max="6143" width="8.140625" style="66" customWidth="1"/>
    <col min="6144" max="6144" width="8" style="66" customWidth="1"/>
    <col min="6145" max="6145" width="7.85546875" style="66" customWidth="1"/>
    <col min="6146" max="6146" width="8.28515625" style="66" customWidth="1"/>
    <col min="6147" max="6147" width="7.28515625" style="66" customWidth="1"/>
    <col min="6148" max="6148" width="9.140625" style="66" customWidth="1"/>
    <col min="6149" max="6149" width="7" style="66" customWidth="1"/>
    <col min="6150" max="6150" width="7.5703125" style="66" customWidth="1"/>
    <col min="6151" max="6392" width="9.140625" style="66"/>
    <col min="6393" max="6393" width="7.5703125" style="66" customWidth="1"/>
    <col min="6394" max="6394" width="13.7109375" style="66" customWidth="1"/>
    <col min="6395" max="6395" width="8.7109375" style="66" customWidth="1"/>
    <col min="6396" max="6396" width="8.42578125" style="66" customWidth="1"/>
    <col min="6397" max="6397" width="8.140625" style="66" customWidth="1"/>
    <col min="6398" max="6398" width="9.140625" style="66"/>
    <col min="6399" max="6399" width="8.140625" style="66" customWidth="1"/>
    <col min="6400" max="6400" width="8" style="66" customWidth="1"/>
    <col min="6401" max="6401" width="7.85546875" style="66" customWidth="1"/>
    <col min="6402" max="6402" width="8.28515625" style="66" customWidth="1"/>
    <col min="6403" max="6403" width="7.28515625" style="66" customWidth="1"/>
    <col min="6404" max="6404" width="9.140625" style="66" customWidth="1"/>
    <col min="6405" max="6405" width="7" style="66" customWidth="1"/>
    <col min="6406" max="6406" width="7.5703125" style="66" customWidth="1"/>
    <col min="6407" max="6648" width="9.140625" style="66"/>
    <col min="6649" max="6649" width="7.5703125" style="66" customWidth="1"/>
    <col min="6650" max="6650" width="13.7109375" style="66" customWidth="1"/>
    <col min="6651" max="6651" width="8.7109375" style="66" customWidth="1"/>
    <col min="6652" max="6652" width="8.42578125" style="66" customWidth="1"/>
    <col min="6653" max="6653" width="8.140625" style="66" customWidth="1"/>
    <col min="6654" max="6654" width="9.140625" style="66"/>
    <col min="6655" max="6655" width="8.140625" style="66" customWidth="1"/>
    <col min="6656" max="6656" width="8" style="66" customWidth="1"/>
    <col min="6657" max="6657" width="7.85546875" style="66" customWidth="1"/>
    <col min="6658" max="6658" width="8.28515625" style="66" customWidth="1"/>
    <col min="6659" max="6659" width="7.28515625" style="66" customWidth="1"/>
    <col min="6660" max="6660" width="9.140625" style="66" customWidth="1"/>
    <col min="6661" max="6661" width="7" style="66" customWidth="1"/>
    <col min="6662" max="6662" width="7.5703125" style="66" customWidth="1"/>
    <col min="6663" max="6904" width="9.140625" style="66"/>
    <col min="6905" max="6905" width="7.5703125" style="66" customWidth="1"/>
    <col min="6906" max="6906" width="13.7109375" style="66" customWidth="1"/>
    <col min="6907" max="6907" width="8.7109375" style="66" customWidth="1"/>
    <col min="6908" max="6908" width="8.42578125" style="66" customWidth="1"/>
    <col min="6909" max="6909" width="8.140625" style="66" customWidth="1"/>
    <col min="6910" max="6910" width="9.140625" style="66"/>
    <col min="6911" max="6911" width="8.140625" style="66" customWidth="1"/>
    <col min="6912" max="6912" width="8" style="66" customWidth="1"/>
    <col min="6913" max="6913" width="7.85546875" style="66" customWidth="1"/>
    <col min="6914" max="6914" width="8.28515625" style="66" customWidth="1"/>
    <col min="6915" max="6915" width="7.28515625" style="66" customWidth="1"/>
    <col min="6916" max="6916" width="9.140625" style="66" customWidth="1"/>
    <col min="6917" max="6917" width="7" style="66" customWidth="1"/>
    <col min="6918" max="6918" width="7.5703125" style="66" customWidth="1"/>
    <col min="6919" max="7160" width="9.140625" style="66"/>
    <col min="7161" max="7161" width="7.5703125" style="66" customWidth="1"/>
    <col min="7162" max="7162" width="13.7109375" style="66" customWidth="1"/>
    <col min="7163" max="7163" width="8.7109375" style="66" customWidth="1"/>
    <col min="7164" max="7164" width="8.42578125" style="66" customWidth="1"/>
    <col min="7165" max="7165" width="8.140625" style="66" customWidth="1"/>
    <col min="7166" max="7166" width="9.140625" style="66"/>
    <col min="7167" max="7167" width="8.140625" style="66" customWidth="1"/>
    <col min="7168" max="7168" width="8" style="66" customWidth="1"/>
    <col min="7169" max="7169" width="7.85546875" style="66" customWidth="1"/>
    <col min="7170" max="7170" width="8.28515625" style="66" customWidth="1"/>
    <col min="7171" max="7171" width="7.28515625" style="66" customWidth="1"/>
    <col min="7172" max="7172" width="9.140625" style="66" customWidth="1"/>
    <col min="7173" max="7173" width="7" style="66" customWidth="1"/>
    <col min="7174" max="7174" width="7.5703125" style="66" customWidth="1"/>
    <col min="7175" max="7416" width="9.140625" style="66"/>
    <col min="7417" max="7417" width="7.5703125" style="66" customWidth="1"/>
    <col min="7418" max="7418" width="13.7109375" style="66" customWidth="1"/>
    <col min="7419" max="7419" width="8.7109375" style="66" customWidth="1"/>
    <col min="7420" max="7420" width="8.42578125" style="66" customWidth="1"/>
    <col min="7421" max="7421" width="8.140625" style="66" customWidth="1"/>
    <col min="7422" max="7422" width="9.140625" style="66"/>
    <col min="7423" max="7423" width="8.140625" style="66" customWidth="1"/>
    <col min="7424" max="7424" width="8" style="66" customWidth="1"/>
    <col min="7425" max="7425" width="7.85546875" style="66" customWidth="1"/>
    <col min="7426" max="7426" width="8.28515625" style="66" customWidth="1"/>
    <col min="7427" max="7427" width="7.28515625" style="66" customWidth="1"/>
    <col min="7428" max="7428" width="9.140625" style="66" customWidth="1"/>
    <col min="7429" max="7429" width="7" style="66" customWidth="1"/>
    <col min="7430" max="7430" width="7.5703125" style="66" customWidth="1"/>
    <col min="7431" max="7672" width="9.140625" style="66"/>
    <col min="7673" max="7673" width="7.5703125" style="66" customWidth="1"/>
    <col min="7674" max="7674" width="13.7109375" style="66" customWidth="1"/>
    <col min="7675" max="7675" width="8.7109375" style="66" customWidth="1"/>
    <col min="7676" max="7676" width="8.42578125" style="66" customWidth="1"/>
    <col min="7677" max="7677" width="8.140625" style="66" customWidth="1"/>
    <col min="7678" max="7678" width="9.140625" style="66"/>
    <col min="7679" max="7679" width="8.140625" style="66" customWidth="1"/>
    <col min="7680" max="7680" width="8" style="66" customWidth="1"/>
    <col min="7681" max="7681" width="7.85546875" style="66" customWidth="1"/>
    <col min="7682" max="7682" width="8.28515625" style="66" customWidth="1"/>
    <col min="7683" max="7683" width="7.28515625" style="66" customWidth="1"/>
    <col min="7684" max="7684" width="9.140625" style="66" customWidth="1"/>
    <col min="7685" max="7685" width="7" style="66" customWidth="1"/>
    <col min="7686" max="7686" width="7.5703125" style="66" customWidth="1"/>
    <col min="7687" max="7928" width="9.140625" style="66"/>
    <col min="7929" max="7929" width="7.5703125" style="66" customWidth="1"/>
    <col min="7930" max="7930" width="13.7109375" style="66" customWidth="1"/>
    <col min="7931" max="7931" width="8.7109375" style="66" customWidth="1"/>
    <col min="7932" max="7932" width="8.42578125" style="66" customWidth="1"/>
    <col min="7933" max="7933" width="8.140625" style="66" customWidth="1"/>
    <col min="7934" max="7934" width="9.140625" style="66"/>
    <col min="7935" max="7935" width="8.140625" style="66" customWidth="1"/>
    <col min="7936" max="7936" width="8" style="66" customWidth="1"/>
    <col min="7937" max="7937" width="7.85546875" style="66" customWidth="1"/>
    <col min="7938" max="7938" width="8.28515625" style="66" customWidth="1"/>
    <col min="7939" max="7939" width="7.28515625" style="66" customWidth="1"/>
    <col min="7940" max="7940" width="9.140625" style="66" customWidth="1"/>
    <col min="7941" max="7941" width="7" style="66" customWidth="1"/>
    <col min="7942" max="7942" width="7.5703125" style="66" customWidth="1"/>
    <col min="7943" max="8184" width="9.140625" style="66"/>
    <col min="8185" max="8185" width="7.5703125" style="66" customWidth="1"/>
    <col min="8186" max="8186" width="13.7109375" style="66" customWidth="1"/>
    <col min="8187" max="8187" width="8.7109375" style="66" customWidth="1"/>
    <col min="8188" max="8188" width="8.42578125" style="66" customWidth="1"/>
    <col min="8189" max="8189" width="8.140625" style="66" customWidth="1"/>
    <col min="8190" max="8190" width="9.140625" style="66"/>
    <col min="8191" max="8191" width="8.140625" style="66" customWidth="1"/>
    <col min="8192" max="8192" width="8" style="66" customWidth="1"/>
    <col min="8193" max="8193" width="7.85546875" style="66" customWidth="1"/>
    <col min="8194" max="8194" width="8.28515625" style="66" customWidth="1"/>
    <col min="8195" max="8195" width="7.28515625" style="66" customWidth="1"/>
    <col min="8196" max="8196" width="9.140625" style="66" customWidth="1"/>
    <col min="8197" max="8197" width="7" style="66" customWidth="1"/>
    <col min="8198" max="8198" width="7.5703125" style="66" customWidth="1"/>
    <col min="8199" max="8440" width="9.140625" style="66"/>
    <col min="8441" max="8441" width="7.5703125" style="66" customWidth="1"/>
    <col min="8442" max="8442" width="13.7109375" style="66" customWidth="1"/>
    <col min="8443" max="8443" width="8.7109375" style="66" customWidth="1"/>
    <col min="8444" max="8444" width="8.42578125" style="66" customWidth="1"/>
    <col min="8445" max="8445" width="8.140625" style="66" customWidth="1"/>
    <col min="8446" max="8446" width="9.140625" style="66"/>
    <col min="8447" max="8447" width="8.140625" style="66" customWidth="1"/>
    <col min="8448" max="8448" width="8" style="66" customWidth="1"/>
    <col min="8449" max="8449" width="7.85546875" style="66" customWidth="1"/>
    <col min="8450" max="8450" width="8.28515625" style="66" customWidth="1"/>
    <col min="8451" max="8451" width="7.28515625" style="66" customWidth="1"/>
    <col min="8452" max="8452" width="9.140625" style="66" customWidth="1"/>
    <col min="8453" max="8453" width="7" style="66" customWidth="1"/>
    <col min="8454" max="8454" width="7.5703125" style="66" customWidth="1"/>
    <col min="8455" max="8696" width="9.140625" style="66"/>
    <col min="8697" max="8697" width="7.5703125" style="66" customWidth="1"/>
    <col min="8698" max="8698" width="13.7109375" style="66" customWidth="1"/>
    <col min="8699" max="8699" width="8.7109375" style="66" customWidth="1"/>
    <col min="8700" max="8700" width="8.42578125" style="66" customWidth="1"/>
    <col min="8701" max="8701" width="8.140625" style="66" customWidth="1"/>
    <col min="8702" max="8702" width="9.140625" style="66"/>
    <col min="8703" max="8703" width="8.140625" style="66" customWidth="1"/>
    <col min="8704" max="8704" width="8" style="66" customWidth="1"/>
    <col min="8705" max="8705" width="7.85546875" style="66" customWidth="1"/>
    <col min="8706" max="8706" width="8.28515625" style="66" customWidth="1"/>
    <col min="8707" max="8707" width="7.28515625" style="66" customWidth="1"/>
    <col min="8708" max="8708" width="9.140625" style="66" customWidth="1"/>
    <col min="8709" max="8709" width="7" style="66" customWidth="1"/>
    <col min="8710" max="8710" width="7.5703125" style="66" customWidth="1"/>
    <col min="8711" max="8952" width="9.140625" style="66"/>
    <col min="8953" max="8953" width="7.5703125" style="66" customWidth="1"/>
    <col min="8954" max="8954" width="13.7109375" style="66" customWidth="1"/>
    <col min="8955" max="8955" width="8.7109375" style="66" customWidth="1"/>
    <col min="8956" max="8956" width="8.42578125" style="66" customWidth="1"/>
    <col min="8957" max="8957" width="8.140625" style="66" customWidth="1"/>
    <col min="8958" max="8958" width="9.140625" style="66"/>
    <col min="8959" max="8959" width="8.140625" style="66" customWidth="1"/>
    <col min="8960" max="8960" width="8" style="66" customWidth="1"/>
    <col min="8961" max="8961" width="7.85546875" style="66" customWidth="1"/>
    <col min="8962" max="8962" width="8.28515625" style="66" customWidth="1"/>
    <col min="8963" max="8963" width="7.28515625" style="66" customWidth="1"/>
    <col min="8964" max="8964" width="9.140625" style="66" customWidth="1"/>
    <col min="8965" max="8965" width="7" style="66" customWidth="1"/>
    <col min="8966" max="8966" width="7.5703125" style="66" customWidth="1"/>
    <col min="8967" max="9208" width="9.140625" style="66"/>
    <col min="9209" max="9209" width="7.5703125" style="66" customWidth="1"/>
    <col min="9210" max="9210" width="13.7109375" style="66" customWidth="1"/>
    <col min="9211" max="9211" width="8.7109375" style="66" customWidth="1"/>
    <col min="9212" max="9212" width="8.42578125" style="66" customWidth="1"/>
    <col min="9213" max="9213" width="8.140625" style="66" customWidth="1"/>
    <col min="9214" max="9214" width="9.140625" style="66"/>
    <col min="9215" max="9215" width="8.140625" style="66" customWidth="1"/>
    <col min="9216" max="9216" width="8" style="66" customWidth="1"/>
    <col min="9217" max="9217" width="7.85546875" style="66" customWidth="1"/>
    <col min="9218" max="9218" width="8.28515625" style="66" customWidth="1"/>
    <col min="9219" max="9219" width="7.28515625" style="66" customWidth="1"/>
    <col min="9220" max="9220" width="9.140625" style="66" customWidth="1"/>
    <col min="9221" max="9221" width="7" style="66" customWidth="1"/>
    <col min="9222" max="9222" width="7.5703125" style="66" customWidth="1"/>
    <col min="9223" max="9464" width="9.140625" style="66"/>
    <col min="9465" max="9465" width="7.5703125" style="66" customWidth="1"/>
    <col min="9466" max="9466" width="13.7109375" style="66" customWidth="1"/>
    <col min="9467" max="9467" width="8.7109375" style="66" customWidth="1"/>
    <col min="9468" max="9468" width="8.42578125" style="66" customWidth="1"/>
    <col min="9469" max="9469" width="8.140625" style="66" customWidth="1"/>
    <col min="9470" max="9470" width="9.140625" style="66"/>
    <col min="9471" max="9471" width="8.140625" style="66" customWidth="1"/>
    <col min="9472" max="9472" width="8" style="66" customWidth="1"/>
    <col min="9473" max="9473" width="7.85546875" style="66" customWidth="1"/>
    <col min="9474" max="9474" width="8.28515625" style="66" customWidth="1"/>
    <col min="9475" max="9475" width="7.28515625" style="66" customWidth="1"/>
    <col min="9476" max="9476" width="9.140625" style="66" customWidth="1"/>
    <col min="9477" max="9477" width="7" style="66" customWidth="1"/>
    <col min="9478" max="9478" width="7.5703125" style="66" customWidth="1"/>
    <col min="9479" max="9720" width="9.140625" style="66"/>
    <col min="9721" max="9721" width="7.5703125" style="66" customWidth="1"/>
    <col min="9722" max="9722" width="13.7109375" style="66" customWidth="1"/>
    <col min="9723" max="9723" width="8.7109375" style="66" customWidth="1"/>
    <col min="9724" max="9724" width="8.42578125" style="66" customWidth="1"/>
    <col min="9725" max="9725" width="8.140625" style="66" customWidth="1"/>
    <col min="9726" max="9726" width="9.140625" style="66"/>
    <col min="9727" max="9727" width="8.140625" style="66" customWidth="1"/>
    <col min="9728" max="9728" width="8" style="66" customWidth="1"/>
    <col min="9729" max="9729" width="7.85546875" style="66" customWidth="1"/>
    <col min="9730" max="9730" width="8.28515625" style="66" customWidth="1"/>
    <col min="9731" max="9731" width="7.28515625" style="66" customWidth="1"/>
    <col min="9732" max="9732" width="9.140625" style="66" customWidth="1"/>
    <col min="9733" max="9733" width="7" style="66" customWidth="1"/>
    <col min="9734" max="9734" width="7.5703125" style="66" customWidth="1"/>
    <col min="9735" max="9976" width="9.140625" style="66"/>
    <col min="9977" max="9977" width="7.5703125" style="66" customWidth="1"/>
    <col min="9978" max="9978" width="13.7109375" style="66" customWidth="1"/>
    <col min="9979" max="9979" width="8.7109375" style="66" customWidth="1"/>
    <col min="9980" max="9980" width="8.42578125" style="66" customWidth="1"/>
    <col min="9981" max="9981" width="8.140625" style="66" customWidth="1"/>
    <col min="9982" max="9982" width="9.140625" style="66"/>
    <col min="9983" max="9983" width="8.140625" style="66" customWidth="1"/>
    <col min="9984" max="9984" width="8" style="66" customWidth="1"/>
    <col min="9985" max="9985" width="7.85546875" style="66" customWidth="1"/>
    <col min="9986" max="9986" width="8.28515625" style="66" customWidth="1"/>
    <col min="9987" max="9987" width="7.28515625" style="66" customWidth="1"/>
    <col min="9988" max="9988" width="9.140625" style="66" customWidth="1"/>
    <col min="9989" max="9989" width="7" style="66" customWidth="1"/>
    <col min="9990" max="9990" width="7.5703125" style="66" customWidth="1"/>
    <col min="9991" max="10232" width="9.140625" style="66"/>
    <col min="10233" max="10233" width="7.5703125" style="66" customWidth="1"/>
    <col min="10234" max="10234" width="13.7109375" style="66" customWidth="1"/>
    <col min="10235" max="10235" width="8.7109375" style="66" customWidth="1"/>
    <col min="10236" max="10236" width="8.42578125" style="66" customWidth="1"/>
    <col min="10237" max="10237" width="8.140625" style="66" customWidth="1"/>
    <col min="10238" max="10238" width="9.140625" style="66"/>
    <col min="10239" max="10239" width="8.140625" style="66" customWidth="1"/>
    <col min="10240" max="10240" width="8" style="66" customWidth="1"/>
    <col min="10241" max="10241" width="7.85546875" style="66" customWidth="1"/>
    <col min="10242" max="10242" width="8.28515625" style="66" customWidth="1"/>
    <col min="10243" max="10243" width="7.28515625" style="66" customWidth="1"/>
    <col min="10244" max="10244" width="9.140625" style="66" customWidth="1"/>
    <col min="10245" max="10245" width="7" style="66" customWidth="1"/>
    <col min="10246" max="10246" width="7.5703125" style="66" customWidth="1"/>
    <col min="10247" max="10488" width="9.140625" style="66"/>
    <col min="10489" max="10489" width="7.5703125" style="66" customWidth="1"/>
    <col min="10490" max="10490" width="13.7109375" style="66" customWidth="1"/>
    <col min="10491" max="10491" width="8.7109375" style="66" customWidth="1"/>
    <col min="10492" max="10492" width="8.42578125" style="66" customWidth="1"/>
    <col min="10493" max="10493" width="8.140625" style="66" customWidth="1"/>
    <col min="10494" max="10494" width="9.140625" style="66"/>
    <col min="10495" max="10495" width="8.140625" style="66" customWidth="1"/>
    <col min="10496" max="10496" width="8" style="66" customWidth="1"/>
    <col min="10497" max="10497" width="7.85546875" style="66" customWidth="1"/>
    <col min="10498" max="10498" width="8.28515625" style="66" customWidth="1"/>
    <col min="10499" max="10499" width="7.28515625" style="66" customWidth="1"/>
    <col min="10500" max="10500" width="9.140625" style="66" customWidth="1"/>
    <col min="10501" max="10501" width="7" style="66" customWidth="1"/>
    <col min="10502" max="10502" width="7.5703125" style="66" customWidth="1"/>
    <col min="10503" max="10744" width="9.140625" style="66"/>
    <col min="10745" max="10745" width="7.5703125" style="66" customWidth="1"/>
    <col min="10746" max="10746" width="13.7109375" style="66" customWidth="1"/>
    <col min="10747" max="10747" width="8.7109375" style="66" customWidth="1"/>
    <col min="10748" max="10748" width="8.42578125" style="66" customWidth="1"/>
    <col min="10749" max="10749" width="8.140625" style="66" customWidth="1"/>
    <col min="10750" max="10750" width="9.140625" style="66"/>
    <col min="10751" max="10751" width="8.140625" style="66" customWidth="1"/>
    <col min="10752" max="10752" width="8" style="66" customWidth="1"/>
    <col min="10753" max="10753" width="7.85546875" style="66" customWidth="1"/>
    <col min="10754" max="10754" width="8.28515625" style="66" customWidth="1"/>
    <col min="10755" max="10755" width="7.28515625" style="66" customWidth="1"/>
    <col min="10756" max="10756" width="9.140625" style="66" customWidth="1"/>
    <col min="10757" max="10757" width="7" style="66" customWidth="1"/>
    <col min="10758" max="10758" width="7.5703125" style="66" customWidth="1"/>
    <col min="10759" max="11000" width="9.140625" style="66"/>
    <col min="11001" max="11001" width="7.5703125" style="66" customWidth="1"/>
    <col min="11002" max="11002" width="13.7109375" style="66" customWidth="1"/>
    <col min="11003" max="11003" width="8.7109375" style="66" customWidth="1"/>
    <col min="11004" max="11004" width="8.42578125" style="66" customWidth="1"/>
    <col min="11005" max="11005" width="8.140625" style="66" customWidth="1"/>
    <col min="11006" max="11006" width="9.140625" style="66"/>
    <col min="11007" max="11007" width="8.140625" style="66" customWidth="1"/>
    <col min="11008" max="11008" width="8" style="66" customWidth="1"/>
    <col min="11009" max="11009" width="7.85546875" style="66" customWidth="1"/>
    <col min="11010" max="11010" width="8.28515625" style="66" customWidth="1"/>
    <col min="11011" max="11011" width="7.28515625" style="66" customWidth="1"/>
    <col min="11012" max="11012" width="9.140625" style="66" customWidth="1"/>
    <col min="11013" max="11013" width="7" style="66" customWidth="1"/>
    <col min="11014" max="11014" width="7.5703125" style="66" customWidth="1"/>
    <col min="11015" max="11256" width="9.140625" style="66"/>
    <col min="11257" max="11257" width="7.5703125" style="66" customWidth="1"/>
    <col min="11258" max="11258" width="13.7109375" style="66" customWidth="1"/>
    <col min="11259" max="11259" width="8.7109375" style="66" customWidth="1"/>
    <col min="11260" max="11260" width="8.42578125" style="66" customWidth="1"/>
    <col min="11261" max="11261" width="8.140625" style="66" customWidth="1"/>
    <col min="11262" max="11262" width="9.140625" style="66"/>
    <col min="11263" max="11263" width="8.140625" style="66" customWidth="1"/>
    <col min="11264" max="11264" width="8" style="66" customWidth="1"/>
    <col min="11265" max="11265" width="7.85546875" style="66" customWidth="1"/>
    <col min="11266" max="11266" width="8.28515625" style="66" customWidth="1"/>
    <col min="11267" max="11267" width="7.28515625" style="66" customWidth="1"/>
    <col min="11268" max="11268" width="9.140625" style="66" customWidth="1"/>
    <col min="11269" max="11269" width="7" style="66" customWidth="1"/>
    <col min="11270" max="11270" width="7.5703125" style="66" customWidth="1"/>
    <col min="11271" max="11512" width="9.140625" style="66"/>
    <col min="11513" max="11513" width="7.5703125" style="66" customWidth="1"/>
    <col min="11514" max="11514" width="13.7109375" style="66" customWidth="1"/>
    <col min="11515" max="11515" width="8.7109375" style="66" customWidth="1"/>
    <col min="11516" max="11516" width="8.42578125" style="66" customWidth="1"/>
    <col min="11517" max="11517" width="8.140625" style="66" customWidth="1"/>
    <col min="11518" max="11518" width="9.140625" style="66"/>
    <col min="11519" max="11519" width="8.140625" style="66" customWidth="1"/>
    <col min="11520" max="11520" width="8" style="66" customWidth="1"/>
    <col min="11521" max="11521" width="7.85546875" style="66" customWidth="1"/>
    <col min="11522" max="11522" width="8.28515625" style="66" customWidth="1"/>
    <col min="11523" max="11523" width="7.28515625" style="66" customWidth="1"/>
    <col min="11524" max="11524" width="9.140625" style="66" customWidth="1"/>
    <col min="11525" max="11525" width="7" style="66" customWidth="1"/>
    <col min="11526" max="11526" width="7.5703125" style="66" customWidth="1"/>
    <col min="11527" max="11768" width="9.140625" style="66"/>
    <col min="11769" max="11769" width="7.5703125" style="66" customWidth="1"/>
    <col min="11770" max="11770" width="13.7109375" style="66" customWidth="1"/>
    <col min="11771" max="11771" width="8.7109375" style="66" customWidth="1"/>
    <col min="11772" max="11772" width="8.42578125" style="66" customWidth="1"/>
    <col min="11773" max="11773" width="8.140625" style="66" customWidth="1"/>
    <col min="11774" max="11774" width="9.140625" style="66"/>
    <col min="11775" max="11775" width="8.140625" style="66" customWidth="1"/>
    <col min="11776" max="11776" width="8" style="66" customWidth="1"/>
    <col min="11777" max="11777" width="7.85546875" style="66" customWidth="1"/>
    <col min="11778" max="11778" width="8.28515625" style="66" customWidth="1"/>
    <col min="11779" max="11779" width="7.28515625" style="66" customWidth="1"/>
    <col min="11780" max="11780" width="9.140625" style="66" customWidth="1"/>
    <col min="11781" max="11781" width="7" style="66" customWidth="1"/>
    <col min="11782" max="11782" width="7.5703125" style="66" customWidth="1"/>
    <col min="11783" max="12024" width="9.140625" style="66"/>
    <col min="12025" max="12025" width="7.5703125" style="66" customWidth="1"/>
    <col min="12026" max="12026" width="13.7109375" style="66" customWidth="1"/>
    <col min="12027" max="12027" width="8.7109375" style="66" customWidth="1"/>
    <col min="12028" max="12028" width="8.42578125" style="66" customWidth="1"/>
    <col min="12029" max="12029" width="8.140625" style="66" customWidth="1"/>
    <col min="12030" max="12030" width="9.140625" style="66"/>
    <col min="12031" max="12031" width="8.140625" style="66" customWidth="1"/>
    <col min="12032" max="12032" width="8" style="66" customWidth="1"/>
    <col min="12033" max="12033" width="7.85546875" style="66" customWidth="1"/>
    <col min="12034" max="12034" width="8.28515625" style="66" customWidth="1"/>
    <col min="12035" max="12035" width="7.28515625" style="66" customWidth="1"/>
    <col min="12036" max="12036" width="9.140625" style="66" customWidth="1"/>
    <col min="12037" max="12037" width="7" style="66" customWidth="1"/>
    <col min="12038" max="12038" width="7.5703125" style="66" customWidth="1"/>
    <col min="12039" max="12280" width="9.140625" style="66"/>
    <col min="12281" max="12281" width="7.5703125" style="66" customWidth="1"/>
    <col min="12282" max="12282" width="13.7109375" style="66" customWidth="1"/>
    <col min="12283" max="12283" width="8.7109375" style="66" customWidth="1"/>
    <col min="12284" max="12284" width="8.42578125" style="66" customWidth="1"/>
    <col min="12285" max="12285" width="8.140625" style="66" customWidth="1"/>
    <col min="12286" max="12286" width="9.140625" style="66"/>
    <col min="12287" max="12287" width="8.140625" style="66" customWidth="1"/>
    <col min="12288" max="12288" width="8" style="66" customWidth="1"/>
    <col min="12289" max="12289" width="7.85546875" style="66" customWidth="1"/>
    <col min="12290" max="12290" width="8.28515625" style="66" customWidth="1"/>
    <col min="12291" max="12291" width="7.28515625" style="66" customWidth="1"/>
    <col min="12292" max="12292" width="9.140625" style="66" customWidth="1"/>
    <col min="12293" max="12293" width="7" style="66" customWidth="1"/>
    <col min="12294" max="12294" width="7.5703125" style="66" customWidth="1"/>
    <col min="12295" max="12536" width="9.140625" style="66"/>
    <col min="12537" max="12537" width="7.5703125" style="66" customWidth="1"/>
    <col min="12538" max="12538" width="13.7109375" style="66" customWidth="1"/>
    <col min="12539" max="12539" width="8.7109375" style="66" customWidth="1"/>
    <col min="12540" max="12540" width="8.42578125" style="66" customWidth="1"/>
    <col min="12541" max="12541" width="8.140625" style="66" customWidth="1"/>
    <col min="12542" max="12542" width="9.140625" style="66"/>
    <col min="12543" max="12543" width="8.140625" style="66" customWidth="1"/>
    <col min="12544" max="12544" width="8" style="66" customWidth="1"/>
    <col min="12545" max="12545" width="7.85546875" style="66" customWidth="1"/>
    <col min="12546" max="12546" width="8.28515625" style="66" customWidth="1"/>
    <col min="12547" max="12547" width="7.28515625" style="66" customWidth="1"/>
    <col min="12548" max="12548" width="9.140625" style="66" customWidth="1"/>
    <col min="12549" max="12549" width="7" style="66" customWidth="1"/>
    <col min="12550" max="12550" width="7.5703125" style="66" customWidth="1"/>
    <col min="12551" max="12792" width="9.140625" style="66"/>
    <col min="12793" max="12793" width="7.5703125" style="66" customWidth="1"/>
    <col min="12794" max="12794" width="13.7109375" style="66" customWidth="1"/>
    <col min="12795" max="12795" width="8.7109375" style="66" customWidth="1"/>
    <col min="12796" max="12796" width="8.42578125" style="66" customWidth="1"/>
    <col min="12797" max="12797" width="8.140625" style="66" customWidth="1"/>
    <col min="12798" max="12798" width="9.140625" style="66"/>
    <col min="12799" max="12799" width="8.140625" style="66" customWidth="1"/>
    <col min="12800" max="12800" width="8" style="66" customWidth="1"/>
    <col min="12801" max="12801" width="7.85546875" style="66" customWidth="1"/>
    <col min="12802" max="12802" width="8.28515625" style="66" customWidth="1"/>
    <col min="12803" max="12803" width="7.28515625" style="66" customWidth="1"/>
    <col min="12804" max="12804" width="9.140625" style="66" customWidth="1"/>
    <col min="12805" max="12805" width="7" style="66" customWidth="1"/>
    <col min="12806" max="12806" width="7.5703125" style="66" customWidth="1"/>
    <col min="12807" max="13048" width="9.140625" style="66"/>
    <col min="13049" max="13049" width="7.5703125" style="66" customWidth="1"/>
    <col min="13050" max="13050" width="13.7109375" style="66" customWidth="1"/>
    <col min="13051" max="13051" width="8.7109375" style="66" customWidth="1"/>
    <col min="13052" max="13052" width="8.42578125" style="66" customWidth="1"/>
    <col min="13053" max="13053" width="8.140625" style="66" customWidth="1"/>
    <col min="13054" max="13054" width="9.140625" style="66"/>
    <col min="13055" max="13055" width="8.140625" style="66" customWidth="1"/>
    <col min="13056" max="13056" width="8" style="66" customWidth="1"/>
    <col min="13057" max="13057" width="7.85546875" style="66" customWidth="1"/>
    <col min="13058" max="13058" width="8.28515625" style="66" customWidth="1"/>
    <col min="13059" max="13059" width="7.28515625" style="66" customWidth="1"/>
    <col min="13060" max="13060" width="9.140625" style="66" customWidth="1"/>
    <col min="13061" max="13061" width="7" style="66" customWidth="1"/>
    <col min="13062" max="13062" width="7.5703125" style="66" customWidth="1"/>
    <col min="13063" max="13304" width="9.140625" style="66"/>
    <col min="13305" max="13305" width="7.5703125" style="66" customWidth="1"/>
    <col min="13306" max="13306" width="13.7109375" style="66" customWidth="1"/>
    <col min="13307" max="13307" width="8.7109375" style="66" customWidth="1"/>
    <col min="13308" max="13308" width="8.42578125" style="66" customWidth="1"/>
    <col min="13309" max="13309" width="8.140625" style="66" customWidth="1"/>
    <col min="13310" max="13310" width="9.140625" style="66"/>
    <col min="13311" max="13311" width="8.140625" style="66" customWidth="1"/>
    <col min="13312" max="13312" width="8" style="66" customWidth="1"/>
    <col min="13313" max="13313" width="7.85546875" style="66" customWidth="1"/>
    <col min="13314" max="13314" width="8.28515625" style="66" customWidth="1"/>
    <col min="13315" max="13315" width="7.28515625" style="66" customWidth="1"/>
    <col min="13316" max="13316" width="9.140625" style="66" customWidth="1"/>
    <col min="13317" max="13317" width="7" style="66" customWidth="1"/>
    <col min="13318" max="13318" width="7.5703125" style="66" customWidth="1"/>
    <col min="13319" max="13560" width="9.140625" style="66"/>
    <col min="13561" max="13561" width="7.5703125" style="66" customWidth="1"/>
    <col min="13562" max="13562" width="13.7109375" style="66" customWidth="1"/>
    <col min="13563" max="13563" width="8.7109375" style="66" customWidth="1"/>
    <col min="13564" max="13564" width="8.42578125" style="66" customWidth="1"/>
    <col min="13565" max="13565" width="8.140625" style="66" customWidth="1"/>
    <col min="13566" max="13566" width="9.140625" style="66"/>
    <col min="13567" max="13567" width="8.140625" style="66" customWidth="1"/>
    <col min="13568" max="13568" width="8" style="66" customWidth="1"/>
    <col min="13569" max="13569" width="7.85546875" style="66" customWidth="1"/>
    <col min="13570" max="13570" width="8.28515625" style="66" customWidth="1"/>
    <col min="13571" max="13571" width="7.28515625" style="66" customWidth="1"/>
    <col min="13572" max="13572" width="9.140625" style="66" customWidth="1"/>
    <col min="13573" max="13573" width="7" style="66" customWidth="1"/>
    <col min="13574" max="13574" width="7.5703125" style="66" customWidth="1"/>
    <col min="13575" max="13816" width="9.140625" style="66"/>
    <col min="13817" max="13817" width="7.5703125" style="66" customWidth="1"/>
    <col min="13818" max="13818" width="13.7109375" style="66" customWidth="1"/>
    <col min="13819" max="13819" width="8.7109375" style="66" customWidth="1"/>
    <col min="13820" max="13820" width="8.42578125" style="66" customWidth="1"/>
    <col min="13821" max="13821" width="8.140625" style="66" customWidth="1"/>
    <col min="13822" max="13822" width="9.140625" style="66"/>
    <col min="13823" max="13823" width="8.140625" style="66" customWidth="1"/>
    <col min="13824" max="13824" width="8" style="66" customWidth="1"/>
    <col min="13825" max="13825" width="7.85546875" style="66" customWidth="1"/>
    <col min="13826" max="13826" width="8.28515625" style="66" customWidth="1"/>
    <col min="13827" max="13827" width="7.28515625" style="66" customWidth="1"/>
    <col min="13828" max="13828" width="9.140625" style="66" customWidth="1"/>
    <col min="13829" max="13829" width="7" style="66" customWidth="1"/>
    <col min="13830" max="13830" width="7.5703125" style="66" customWidth="1"/>
    <col min="13831" max="14072" width="9.140625" style="66"/>
    <col min="14073" max="14073" width="7.5703125" style="66" customWidth="1"/>
    <col min="14074" max="14074" width="13.7109375" style="66" customWidth="1"/>
    <col min="14075" max="14075" width="8.7109375" style="66" customWidth="1"/>
    <col min="14076" max="14076" width="8.42578125" style="66" customWidth="1"/>
    <col min="14077" max="14077" width="8.140625" style="66" customWidth="1"/>
    <col min="14078" max="14078" width="9.140625" style="66"/>
    <col min="14079" max="14079" width="8.140625" style="66" customWidth="1"/>
    <col min="14080" max="14080" width="8" style="66" customWidth="1"/>
    <col min="14081" max="14081" width="7.85546875" style="66" customWidth="1"/>
    <col min="14082" max="14082" width="8.28515625" style="66" customWidth="1"/>
    <col min="14083" max="14083" width="7.28515625" style="66" customWidth="1"/>
    <col min="14084" max="14084" width="9.140625" style="66" customWidth="1"/>
    <col min="14085" max="14085" width="7" style="66" customWidth="1"/>
    <col min="14086" max="14086" width="7.5703125" style="66" customWidth="1"/>
    <col min="14087" max="14328" width="9.140625" style="66"/>
    <col min="14329" max="14329" width="7.5703125" style="66" customWidth="1"/>
    <col min="14330" max="14330" width="13.7109375" style="66" customWidth="1"/>
    <col min="14331" max="14331" width="8.7109375" style="66" customWidth="1"/>
    <col min="14332" max="14332" width="8.42578125" style="66" customWidth="1"/>
    <col min="14333" max="14333" width="8.140625" style="66" customWidth="1"/>
    <col min="14334" max="14334" width="9.140625" style="66"/>
    <col min="14335" max="14335" width="8.140625" style="66" customWidth="1"/>
    <col min="14336" max="14336" width="8" style="66" customWidth="1"/>
    <col min="14337" max="14337" width="7.85546875" style="66" customWidth="1"/>
    <col min="14338" max="14338" width="8.28515625" style="66" customWidth="1"/>
    <col min="14339" max="14339" width="7.28515625" style="66" customWidth="1"/>
    <col min="14340" max="14340" width="9.140625" style="66" customWidth="1"/>
    <col min="14341" max="14341" width="7" style="66" customWidth="1"/>
    <col min="14342" max="14342" width="7.5703125" style="66" customWidth="1"/>
    <col min="14343" max="14584" width="9.140625" style="66"/>
    <col min="14585" max="14585" width="7.5703125" style="66" customWidth="1"/>
    <col min="14586" max="14586" width="13.7109375" style="66" customWidth="1"/>
    <col min="14587" max="14587" width="8.7109375" style="66" customWidth="1"/>
    <col min="14588" max="14588" width="8.42578125" style="66" customWidth="1"/>
    <col min="14589" max="14589" width="8.140625" style="66" customWidth="1"/>
    <col min="14590" max="14590" width="9.140625" style="66"/>
    <col min="14591" max="14591" width="8.140625" style="66" customWidth="1"/>
    <col min="14592" max="14592" width="8" style="66" customWidth="1"/>
    <col min="14593" max="14593" width="7.85546875" style="66" customWidth="1"/>
    <col min="14594" max="14594" width="8.28515625" style="66" customWidth="1"/>
    <col min="14595" max="14595" width="7.28515625" style="66" customWidth="1"/>
    <col min="14596" max="14596" width="9.140625" style="66" customWidth="1"/>
    <col min="14597" max="14597" width="7" style="66" customWidth="1"/>
    <col min="14598" max="14598" width="7.5703125" style="66" customWidth="1"/>
    <col min="14599" max="14840" width="9.140625" style="66"/>
    <col min="14841" max="14841" width="7.5703125" style="66" customWidth="1"/>
    <col min="14842" max="14842" width="13.7109375" style="66" customWidth="1"/>
    <col min="14843" max="14843" width="8.7109375" style="66" customWidth="1"/>
    <col min="14844" max="14844" width="8.42578125" style="66" customWidth="1"/>
    <col min="14845" max="14845" width="8.140625" style="66" customWidth="1"/>
    <col min="14846" max="14846" width="9.140625" style="66"/>
    <col min="14847" max="14847" width="8.140625" style="66" customWidth="1"/>
    <col min="14848" max="14848" width="8" style="66" customWidth="1"/>
    <col min="14849" max="14849" width="7.85546875" style="66" customWidth="1"/>
    <col min="14850" max="14850" width="8.28515625" style="66" customWidth="1"/>
    <col min="14851" max="14851" width="7.28515625" style="66" customWidth="1"/>
    <col min="14852" max="14852" width="9.140625" style="66" customWidth="1"/>
    <col min="14853" max="14853" width="7" style="66" customWidth="1"/>
    <col min="14854" max="14854" width="7.5703125" style="66" customWidth="1"/>
    <col min="14855" max="15096" width="9.140625" style="66"/>
    <col min="15097" max="15097" width="7.5703125" style="66" customWidth="1"/>
    <col min="15098" max="15098" width="13.7109375" style="66" customWidth="1"/>
    <col min="15099" max="15099" width="8.7109375" style="66" customWidth="1"/>
    <col min="15100" max="15100" width="8.42578125" style="66" customWidth="1"/>
    <col min="15101" max="15101" width="8.140625" style="66" customWidth="1"/>
    <col min="15102" max="15102" width="9.140625" style="66"/>
    <col min="15103" max="15103" width="8.140625" style="66" customWidth="1"/>
    <col min="15104" max="15104" width="8" style="66" customWidth="1"/>
    <col min="15105" max="15105" width="7.85546875" style="66" customWidth="1"/>
    <col min="15106" max="15106" width="8.28515625" style="66" customWidth="1"/>
    <col min="15107" max="15107" width="7.28515625" style="66" customWidth="1"/>
    <col min="15108" max="15108" width="9.140625" style="66" customWidth="1"/>
    <col min="15109" max="15109" width="7" style="66" customWidth="1"/>
    <col min="15110" max="15110" width="7.5703125" style="66" customWidth="1"/>
    <col min="15111" max="15352" width="9.140625" style="66"/>
    <col min="15353" max="15353" width="7.5703125" style="66" customWidth="1"/>
    <col min="15354" max="15354" width="13.7109375" style="66" customWidth="1"/>
    <col min="15355" max="15355" width="8.7109375" style="66" customWidth="1"/>
    <col min="15356" max="15356" width="8.42578125" style="66" customWidth="1"/>
    <col min="15357" max="15357" width="8.140625" style="66" customWidth="1"/>
    <col min="15358" max="15358" width="9.140625" style="66"/>
    <col min="15359" max="15359" width="8.140625" style="66" customWidth="1"/>
    <col min="15360" max="15360" width="8" style="66" customWidth="1"/>
    <col min="15361" max="15361" width="7.85546875" style="66" customWidth="1"/>
    <col min="15362" max="15362" width="8.28515625" style="66" customWidth="1"/>
    <col min="15363" max="15363" width="7.28515625" style="66" customWidth="1"/>
    <col min="15364" max="15364" width="9.140625" style="66" customWidth="1"/>
    <col min="15365" max="15365" width="7" style="66" customWidth="1"/>
    <col min="15366" max="15366" width="7.5703125" style="66" customWidth="1"/>
    <col min="15367" max="15608" width="9.140625" style="66"/>
    <col min="15609" max="15609" width="7.5703125" style="66" customWidth="1"/>
    <col min="15610" max="15610" width="13.7109375" style="66" customWidth="1"/>
    <col min="15611" max="15611" width="8.7109375" style="66" customWidth="1"/>
    <col min="15612" max="15612" width="8.42578125" style="66" customWidth="1"/>
    <col min="15613" max="15613" width="8.140625" style="66" customWidth="1"/>
    <col min="15614" max="15614" width="9.140625" style="66"/>
    <col min="15615" max="15615" width="8.140625" style="66" customWidth="1"/>
    <col min="15616" max="15616" width="8" style="66" customWidth="1"/>
    <col min="15617" max="15617" width="7.85546875" style="66" customWidth="1"/>
    <col min="15618" max="15618" width="8.28515625" style="66" customWidth="1"/>
    <col min="15619" max="15619" width="7.28515625" style="66" customWidth="1"/>
    <col min="15620" max="15620" width="9.140625" style="66" customWidth="1"/>
    <col min="15621" max="15621" width="7" style="66" customWidth="1"/>
    <col min="15622" max="15622" width="7.5703125" style="66" customWidth="1"/>
    <col min="15623" max="15864" width="9.140625" style="66"/>
    <col min="15865" max="15865" width="7.5703125" style="66" customWidth="1"/>
    <col min="15866" max="15866" width="13.7109375" style="66" customWidth="1"/>
    <col min="15867" max="15867" width="8.7109375" style="66" customWidth="1"/>
    <col min="15868" max="15868" width="8.42578125" style="66" customWidth="1"/>
    <col min="15869" max="15869" width="8.140625" style="66" customWidth="1"/>
    <col min="15870" max="15870" width="9.140625" style="66"/>
    <col min="15871" max="15871" width="8.140625" style="66" customWidth="1"/>
    <col min="15872" max="15872" width="8" style="66" customWidth="1"/>
    <col min="15873" max="15873" width="7.85546875" style="66" customWidth="1"/>
    <col min="15874" max="15874" width="8.28515625" style="66" customWidth="1"/>
    <col min="15875" max="15875" width="7.28515625" style="66" customWidth="1"/>
    <col min="15876" max="15876" width="9.140625" style="66" customWidth="1"/>
    <col min="15877" max="15877" width="7" style="66" customWidth="1"/>
    <col min="15878" max="15878" width="7.5703125" style="66" customWidth="1"/>
    <col min="15879" max="16120" width="9.140625" style="66"/>
    <col min="16121" max="16121" width="7.5703125" style="66" customWidth="1"/>
    <col min="16122" max="16122" width="13.7109375" style="66" customWidth="1"/>
    <col min="16123" max="16123" width="8.7109375" style="66" customWidth="1"/>
    <col min="16124" max="16124" width="8.42578125" style="66" customWidth="1"/>
    <col min="16125" max="16125" width="8.140625" style="66" customWidth="1"/>
    <col min="16126" max="16126" width="9.140625" style="66"/>
    <col min="16127" max="16127" width="8.140625" style="66" customWidth="1"/>
    <col min="16128" max="16128" width="8" style="66" customWidth="1"/>
    <col min="16129" max="16129" width="7.85546875" style="66" customWidth="1"/>
    <col min="16130" max="16130" width="8.28515625" style="66" customWidth="1"/>
    <col min="16131" max="16131" width="7.28515625" style="66" customWidth="1"/>
    <col min="16132" max="16132" width="9.140625" style="66" customWidth="1"/>
    <col min="16133" max="16133" width="7" style="66" customWidth="1"/>
    <col min="16134" max="16134" width="7.5703125" style="66" customWidth="1"/>
    <col min="16135" max="16384" width="9.140625" style="66"/>
  </cols>
  <sheetData>
    <row r="1" spans="1:11" ht="25.5" customHeight="1">
      <c r="A1" s="425" t="s">
        <v>525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</row>
    <row r="2" spans="1:11" ht="15" customHeight="1">
      <c r="A2" s="422" t="s">
        <v>181</v>
      </c>
      <c r="B2" s="424" t="s">
        <v>180</v>
      </c>
      <c r="C2" s="424" t="s">
        <v>163</v>
      </c>
      <c r="D2" s="424"/>
      <c r="E2" s="424"/>
      <c r="F2" s="424" t="s">
        <v>134</v>
      </c>
      <c r="G2" s="424"/>
      <c r="H2" s="424"/>
      <c r="I2" s="424" t="s">
        <v>164</v>
      </c>
      <c r="J2" s="424"/>
      <c r="K2" s="424"/>
    </row>
    <row r="3" spans="1:11" ht="15" customHeight="1">
      <c r="A3" s="423"/>
      <c r="B3" s="424"/>
      <c r="C3" s="121" t="s">
        <v>84</v>
      </c>
      <c r="D3" s="121" t="s">
        <v>85</v>
      </c>
      <c r="E3" s="121" t="s">
        <v>19</v>
      </c>
      <c r="F3" s="121" t="s">
        <v>84</v>
      </c>
      <c r="G3" s="121" t="s">
        <v>85</v>
      </c>
      <c r="H3" s="121" t="s">
        <v>19</v>
      </c>
      <c r="I3" s="121" t="s">
        <v>84</v>
      </c>
      <c r="J3" s="121" t="s">
        <v>85</v>
      </c>
      <c r="K3" s="121" t="s">
        <v>19</v>
      </c>
    </row>
    <row r="4" spans="1:11" ht="15" customHeight="1">
      <c r="A4" s="122">
        <v>1</v>
      </c>
      <c r="B4" s="123" t="s">
        <v>30</v>
      </c>
      <c r="C4" s="124">
        <v>2423</v>
      </c>
      <c r="D4" s="124">
        <v>2371</v>
      </c>
      <c r="E4" s="122">
        <f t="shared" ref="E4:E13" si="0">SUM(C4:D4)</f>
        <v>4794</v>
      </c>
      <c r="F4" s="122">
        <v>358</v>
      </c>
      <c r="G4" s="122">
        <v>179</v>
      </c>
      <c r="H4" s="122">
        <f>SUM(F4:G4)</f>
        <v>537</v>
      </c>
      <c r="I4" s="122">
        <v>0</v>
      </c>
      <c r="J4" s="122">
        <v>0</v>
      </c>
      <c r="K4" s="122">
        <f t="shared" ref="K4:K14" si="1">SUM(I4:J4)</f>
        <v>0</v>
      </c>
    </row>
    <row r="5" spans="1:11" ht="15" customHeight="1">
      <c r="A5" s="122">
        <v>2</v>
      </c>
      <c r="B5" s="123" t="s">
        <v>26</v>
      </c>
      <c r="C5" s="124">
        <v>195</v>
      </c>
      <c r="D5" s="124">
        <v>172</v>
      </c>
      <c r="E5" s="122">
        <f t="shared" si="0"/>
        <v>367</v>
      </c>
      <c r="F5" s="122">
        <v>7</v>
      </c>
      <c r="G5" s="122">
        <v>5</v>
      </c>
      <c r="H5" s="122">
        <f>SUM(F5:G5)</f>
        <v>12</v>
      </c>
      <c r="I5" s="122">
        <v>0</v>
      </c>
      <c r="J5" s="122">
        <v>0</v>
      </c>
      <c r="K5" s="122">
        <f t="shared" si="1"/>
        <v>0</v>
      </c>
    </row>
    <row r="6" spans="1:11" ht="15" customHeight="1">
      <c r="A6" s="122">
        <v>3</v>
      </c>
      <c r="B6" s="123" t="s">
        <v>22</v>
      </c>
      <c r="C6" s="124">
        <v>1149</v>
      </c>
      <c r="D6" s="124">
        <v>1234</v>
      </c>
      <c r="E6" s="122">
        <f t="shared" si="0"/>
        <v>2383</v>
      </c>
      <c r="F6" s="122">
        <v>273</v>
      </c>
      <c r="G6" s="122">
        <v>107</v>
      </c>
      <c r="H6" s="122">
        <f>SUM(F6:G6)</f>
        <v>380</v>
      </c>
      <c r="I6" s="122">
        <v>0</v>
      </c>
      <c r="J6" s="122">
        <v>0</v>
      </c>
      <c r="K6" s="122">
        <f t="shared" si="1"/>
        <v>0</v>
      </c>
    </row>
    <row r="7" spans="1:11" ht="15" customHeight="1">
      <c r="A7" s="122">
        <v>4</v>
      </c>
      <c r="B7" s="123" t="s">
        <v>24</v>
      </c>
      <c r="C7" s="124">
        <v>643</v>
      </c>
      <c r="D7" s="124">
        <v>603</v>
      </c>
      <c r="E7" s="122">
        <f t="shared" si="0"/>
        <v>1246</v>
      </c>
      <c r="F7" s="122">
        <v>62</v>
      </c>
      <c r="G7" s="122">
        <v>27</v>
      </c>
      <c r="H7" s="122">
        <f>F7+G7</f>
        <v>89</v>
      </c>
      <c r="I7" s="122">
        <v>0</v>
      </c>
      <c r="J7" s="122">
        <v>0</v>
      </c>
      <c r="K7" s="122">
        <f t="shared" si="1"/>
        <v>0</v>
      </c>
    </row>
    <row r="8" spans="1:11" ht="15" customHeight="1">
      <c r="A8" s="122">
        <v>5</v>
      </c>
      <c r="B8" s="123" t="s">
        <v>23</v>
      </c>
      <c r="C8" s="124">
        <v>2461</v>
      </c>
      <c r="D8" s="124">
        <v>2352</v>
      </c>
      <c r="E8" s="122">
        <f t="shared" si="0"/>
        <v>4813</v>
      </c>
      <c r="F8" s="122">
        <v>166</v>
      </c>
      <c r="G8" s="122">
        <v>64</v>
      </c>
      <c r="H8" s="122">
        <f t="shared" ref="H8:H13" si="2">SUM(F8:G8)</f>
        <v>230</v>
      </c>
      <c r="I8" s="122">
        <v>0</v>
      </c>
      <c r="J8" s="122">
        <v>0</v>
      </c>
      <c r="K8" s="122">
        <f t="shared" si="1"/>
        <v>0</v>
      </c>
    </row>
    <row r="9" spans="1:11" ht="15" customHeight="1">
      <c r="A9" s="122">
        <v>6</v>
      </c>
      <c r="B9" s="123" t="s">
        <v>27</v>
      </c>
      <c r="C9" s="125">
        <v>3993</v>
      </c>
      <c r="D9" s="124">
        <v>3600</v>
      </c>
      <c r="E9" s="122">
        <f t="shared" si="0"/>
        <v>7593</v>
      </c>
      <c r="F9" s="122">
        <v>133</v>
      </c>
      <c r="G9" s="122">
        <v>44</v>
      </c>
      <c r="H9" s="122">
        <f t="shared" si="2"/>
        <v>177</v>
      </c>
      <c r="I9" s="122">
        <v>0</v>
      </c>
      <c r="J9" s="122">
        <v>0</v>
      </c>
      <c r="K9" s="122">
        <f t="shared" si="1"/>
        <v>0</v>
      </c>
    </row>
    <row r="10" spans="1:11" ht="15" customHeight="1">
      <c r="A10" s="122">
        <v>7</v>
      </c>
      <c r="B10" s="123" t="s">
        <v>21</v>
      </c>
      <c r="C10" s="125">
        <v>8719</v>
      </c>
      <c r="D10" s="124">
        <v>9004</v>
      </c>
      <c r="E10" s="122">
        <f t="shared" si="0"/>
        <v>17723</v>
      </c>
      <c r="F10" s="122">
        <v>199</v>
      </c>
      <c r="G10" s="122">
        <v>57</v>
      </c>
      <c r="H10" s="122">
        <f t="shared" si="2"/>
        <v>256</v>
      </c>
      <c r="I10" s="122">
        <v>0</v>
      </c>
      <c r="J10" s="122">
        <v>0</v>
      </c>
      <c r="K10" s="122">
        <f t="shared" si="1"/>
        <v>0</v>
      </c>
    </row>
    <row r="11" spans="1:11" ht="15" customHeight="1">
      <c r="A11" s="122">
        <v>8</v>
      </c>
      <c r="B11" s="123" t="s">
        <v>25</v>
      </c>
      <c r="C11" s="125">
        <v>10853</v>
      </c>
      <c r="D11" s="124">
        <v>11275</v>
      </c>
      <c r="E11" s="122">
        <f t="shared" si="0"/>
        <v>22128</v>
      </c>
      <c r="F11" s="122">
        <v>1370</v>
      </c>
      <c r="G11" s="122">
        <v>546</v>
      </c>
      <c r="H11" s="122">
        <f t="shared" si="2"/>
        <v>1916</v>
      </c>
      <c r="I11" s="122">
        <v>1</v>
      </c>
      <c r="J11" s="122">
        <v>0</v>
      </c>
      <c r="K11" s="122">
        <f t="shared" si="1"/>
        <v>1</v>
      </c>
    </row>
    <row r="12" spans="1:11" ht="15" customHeight="1">
      <c r="A12" s="122">
        <v>9</v>
      </c>
      <c r="B12" s="126" t="s">
        <v>31</v>
      </c>
      <c r="C12" s="124">
        <v>907</v>
      </c>
      <c r="D12" s="124">
        <v>1056</v>
      </c>
      <c r="E12" s="122">
        <f t="shared" si="0"/>
        <v>1963</v>
      </c>
      <c r="F12" s="122">
        <v>33</v>
      </c>
      <c r="G12" s="122">
        <v>21</v>
      </c>
      <c r="H12" s="122">
        <f t="shared" si="2"/>
        <v>54</v>
      </c>
      <c r="I12" s="122">
        <v>0</v>
      </c>
      <c r="J12" s="122">
        <v>0</v>
      </c>
      <c r="K12" s="122">
        <f t="shared" si="1"/>
        <v>0</v>
      </c>
    </row>
    <row r="13" spans="1:11" ht="15" customHeight="1">
      <c r="A13" s="122">
        <v>10</v>
      </c>
      <c r="B13" s="123" t="s">
        <v>28</v>
      </c>
      <c r="C13" s="124">
        <v>494</v>
      </c>
      <c r="D13" s="124">
        <v>458</v>
      </c>
      <c r="E13" s="122">
        <f t="shared" si="0"/>
        <v>952</v>
      </c>
      <c r="F13" s="122">
        <v>56</v>
      </c>
      <c r="G13" s="122">
        <v>19</v>
      </c>
      <c r="H13" s="122">
        <f t="shared" si="2"/>
        <v>75</v>
      </c>
      <c r="I13" s="122">
        <v>2</v>
      </c>
      <c r="J13" s="122">
        <v>0</v>
      </c>
      <c r="K13" s="122">
        <f t="shared" si="1"/>
        <v>2</v>
      </c>
    </row>
    <row r="14" spans="1:11" ht="15" customHeight="1">
      <c r="A14" s="122">
        <v>11</v>
      </c>
      <c r="B14" s="123" t="s">
        <v>29</v>
      </c>
      <c r="C14" s="124">
        <v>557</v>
      </c>
      <c r="D14" s="124">
        <v>469</v>
      </c>
      <c r="E14" s="122">
        <f>C14+D14</f>
        <v>1026</v>
      </c>
      <c r="F14" s="122">
        <v>41</v>
      </c>
      <c r="G14" s="122">
        <v>13</v>
      </c>
      <c r="H14" s="122">
        <f>F14+G14</f>
        <v>54</v>
      </c>
      <c r="I14" s="122">
        <v>0</v>
      </c>
      <c r="J14" s="122">
        <v>0</v>
      </c>
      <c r="K14" s="122">
        <f t="shared" si="1"/>
        <v>0</v>
      </c>
    </row>
    <row r="15" spans="1:11" ht="15" customHeight="1">
      <c r="A15" s="420" t="s">
        <v>20</v>
      </c>
      <c r="B15" s="421"/>
      <c r="C15" s="127">
        <f t="shared" ref="C15:K15" si="3">SUM(C4:C14)</f>
        <v>32394</v>
      </c>
      <c r="D15" s="127">
        <f t="shared" si="3"/>
        <v>32594</v>
      </c>
      <c r="E15" s="127">
        <f>SUM(E4:E14)</f>
        <v>64988</v>
      </c>
      <c r="F15" s="127">
        <f t="shared" si="3"/>
        <v>2698</v>
      </c>
      <c r="G15" s="127">
        <f t="shared" si="3"/>
        <v>1082</v>
      </c>
      <c r="H15" s="127">
        <f t="shared" si="3"/>
        <v>3780</v>
      </c>
      <c r="I15" s="127">
        <f t="shared" si="3"/>
        <v>3</v>
      </c>
      <c r="J15" s="127">
        <f t="shared" si="3"/>
        <v>0</v>
      </c>
      <c r="K15" s="127">
        <f t="shared" si="3"/>
        <v>3</v>
      </c>
    </row>
    <row r="16" spans="1:11" ht="15" customHeight="1">
      <c r="A16" s="55" t="s">
        <v>179</v>
      </c>
      <c r="B16" s="114"/>
      <c r="C16" s="114"/>
      <c r="D16" s="114"/>
      <c r="E16" s="114"/>
      <c r="F16" s="112"/>
      <c r="G16" s="112"/>
      <c r="H16" s="112"/>
      <c r="I16" s="109"/>
      <c r="J16" s="109"/>
      <c r="K16" s="109"/>
    </row>
    <row r="18" spans="1:11" ht="15.75">
      <c r="A18" s="425" t="s">
        <v>526</v>
      </c>
      <c r="B18" s="425"/>
      <c r="C18" s="425"/>
      <c r="D18" s="425"/>
      <c r="E18" s="425"/>
      <c r="F18" s="425"/>
      <c r="G18" s="425"/>
      <c r="H18" s="425"/>
      <c r="I18" s="425"/>
      <c r="J18" s="425"/>
      <c r="K18" s="425"/>
    </row>
    <row r="19" spans="1:11" ht="15.75">
      <c r="A19" s="422" t="s">
        <v>181</v>
      </c>
      <c r="B19" s="424" t="s">
        <v>180</v>
      </c>
      <c r="C19" s="424" t="s">
        <v>163</v>
      </c>
      <c r="D19" s="424"/>
      <c r="E19" s="424"/>
      <c r="F19" s="424" t="s">
        <v>134</v>
      </c>
      <c r="G19" s="424"/>
      <c r="H19" s="424"/>
      <c r="I19" s="424" t="s">
        <v>164</v>
      </c>
      <c r="J19" s="424"/>
      <c r="K19" s="424"/>
    </row>
    <row r="20" spans="1:11" ht="15.75">
      <c r="A20" s="423"/>
      <c r="B20" s="424"/>
      <c r="C20" s="121" t="s">
        <v>84</v>
      </c>
      <c r="D20" s="121" t="s">
        <v>85</v>
      </c>
      <c r="E20" s="121" t="s">
        <v>19</v>
      </c>
      <c r="F20" s="121" t="s">
        <v>84</v>
      </c>
      <c r="G20" s="121" t="s">
        <v>85</v>
      </c>
      <c r="H20" s="121" t="s">
        <v>19</v>
      </c>
      <c r="I20" s="121" t="s">
        <v>84</v>
      </c>
      <c r="J20" s="121" t="s">
        <v>85</v>
      </c>
      <c r="K20" s="121" t="s">
        <v>19</v>
      </c>
    </row>
    <row r="21" spans="1:11" ht="15.75">
      <c r="A21" s="122">
        <v>1</v>
      </c>
      <c r="B21" s="123" t="s">
        <v>30</v>
      </c>
      <c r="C21" s="124">
        <v>1780</v>
      </c>
      <c r="D21" s="124">
        <v>2064</v>
      </c>
      <c r="E21" s="122">
        <v>3844</v>
      </c>
      <c r="F21" s="122">
        <v>316</v>
      </c>
      <c r="G21" s="122">
        <v>153</v>
      </c>
      <c r="H21" s="122">
        <v>469</v>
      </c>
      <c r="I21" s="122">
        <v>1</v>
      </c>
      <c r="J21" s="122">
        <v>0</v>
      </c>
      <c r="K21" s="122">
        <v>1</v>
      </c>
    </row>
    <row r="22" spans="1:11" ht="15.75">
      <c r="A22" s="122">
        <v>2</v>
      </c>
      <c r="B22" s="123" t="s">
        <v>26</v>
      </c>
      <c r="C22" s="124">
        <v>1609</v>
      </c>
      <c r="D22" s="124">
        <v>1603</v>
      </c>
      <c r="E22" s="122">
        <v>3212</v>
      </c>
      <c r="F22" s="122">
        <v>137</v>
      </c>
      <c r="G22" s="122">
        <v>60</v>
      </c>
      <c r="H22" s="122">
        <v>197</v>
      </c>
      <c r="I22" s="122">
        <v>0</v>
      </c>
      <c r="J22" s="122">
        <v>0</v>
      </c>
      <c r="K22" s="122">
        <v>0</v>
      </c>
    </row>
    <row r="23" spans="1:11" ht="15.75">
      <c r="A23" s="122">
        <v>3</v>
      </c>
      <c r="B23" s="123" t="s">
        <v>22</v>
      </c>
      <c r="C23" s="124">
        <v>1211</v>
      </c>
      <c r="D23" s="124">
        <v>1243</v>
      </c>
      <c r="E23" s="122">
        <v>2454</v>
      </c>
      <c r="F23" s="122">
        <v>223</v>
      </c>
      <c r="G23" s="122">
        <v>109</v>
      </c>
      <c r="H23" s="122">
        <v>332</v>
      </c>
      <c r="I23" s="122">
        <v>0</v>
      </c>
      <c r="J23" s="122">
        <v>0</v>
      </c>
      <c r="K23" s="122">
        <v>0</v>
      </c>
    </row>
    <row r="24" spans="1:11" ht="15.75">
      <c r="A24" s="122">
        <v>4</v>
      </c>
      <c r="B24" s="123" t="s">
        <v>24</v>
      </c>
      <c r="C24" s="124">
        <v>619</v>
      </c>
      <c r="D24" s="124">
        <v>608</v>
      </c>
      <c r="E24" s="122">
        <v>1227</v>
      </c>
      <c r="F24" s="122">
        <v>72</v>
      </c>
      <c r="G24" s="122">
        <v>15</v>
      </c>
      <c r="H24" s="122">
        <v>87</v>
      </c>
      <c r="I24" s="122">
        <v>0</v>
      </c>
      <c r="J24" s="122">
        <v>0</v>
      </c>
      <c r="K24" s="122">
        <v>0</v>
      </c>
    </row>
    <row r="25" spans="1:11" ht="15.75">
      <c r="A25" s="122">
        <v>5</v>
      </c>
      <c r="B25" s="123" t="s">
        <v>23</v>
      </c>
      <c r="C25" s="124">
        <v>3001</v>
      </c>
      <c r="D25" s="124">
        <v>3182</v>
      </c>
      <c r="E25" s="122">
        <v>6183</v>
      </c>
      <c r="F25" s="122">
        <v>182</v>
      </c>
      <c r="G25" s="122">
        <v>67</v>
      </c>
      <c r="H25" s="122">
        <v>249</v>
      </c>
      <c r="I25" s="122">
        <v>0</v>
      </c>
      <c r="J25" s="122">
        <v>0</v>
      </c>
      <c r="K25" s="122">
        <v>0</v>
      </c>
    </row>
    <row r="26" spans="1:11" ht="15.75">
      <c r="A26" s="122">
        <v>6</v>
      </c>
      <c r="B26" s="123" t="s">
        <v>27</v>
      </c>
      <c r="C26" s="125">
        <v>6445</v>
      </c>
      <c r="D26" s="124">
        <v>5479</v>
      </c>
      <c r="E26" s="122">
        <v>11924</v>
      </c>
      <c r="F26" s="122">
        <v>140</v>
      </c>
      <c r="G26" s="122">
        <v>56</v>
      </c>
      <c r="H26" s="122">
        <v>196</v>
      </c>
      <c r="I26" s="122">
        <v>0</v>
      </c>
      <c r="J26" s="122">
        <v>0</v>
      </c>
      <c r="K26" s="122">
        <v>0</v>
      </c>
    </row>
    <row r="27" spans="1:11" ht="15.75">
      <c r="A27" s="122">
        <v>7</v>
      </c>
      <c r="B27" s="123" t="s">
        <v>21</v>
      </c>
      <c r="C27" s="125">
        <v>9491</v>
      </c>
      <c r="D27" s="124">
        <v>9098</v>
      </c>
      <c r="E27" s="122">
        <v>18589</v>
      </c>
      <c r="F27" s="122">
        <v>147</v>
      </c>
      <c r="G27" s="122">
        <v>44</v>
      </c>
      <c r="H27" s="122">
        <v>191</v>
      </c>
      <c r="I27" s="122">
        <v>0</v>
      </c>
      <c r="J27" s="122">
        <v>0</v>
      </c>
      <c r="K27" s="122">
        <v>0</v>
      </c>
    </row>
    <row r="28" spans="1:11" ht="15.75">
      <c r="A28" s="122">
        <v>8</v>
      </c>
      <c r="B28" s="123" t="s">
        <v>25</v>
      </c>
      <c r="C28" s="125">
        <v>13535</v>
      </c>
      <c r="D28" s="124">
        <v>13680</v>
      </c>
      <c r="E28" s="122">
        <v>27215</v>
      </c>
      <c r="F28" s="122">
        <v>1363</v>
      </c>
      <c r="G28" s="122">
        <v>510</v>
      </c>
      <c r="H28" s="122">
        <v>1873</v>
      </c>
      <c r="I28" s="122">
        <v>1</v>
      </c>
      <c r="J28" s="122">
        <v>0</v>
      </c>
      <c r="K28" s="122">
        <v>1</v>
      </c>
    </row>
    <row r="29" spans="1:11" ht="15.75">
      <c r="A29" s="122">
        <v>9</v>
      </c>
      <c r="B29" s="126" t="s">
        <v>31</v>
      </c>
      <c r="C29" s="124">
        <v>1194</v>
      </c>
      <c r="D29" s="124">
        <v>1221</v>
      </c>
      <c r="E29" s="122">
        <v>2415</v>
      </c>
      <c r="F29" s="122">
        <v>39</v>
      </c>
      <c r="G29" s="122">
        <v>20</v>
      </c>
      <c r="H29" s="122">
        <v>59</v>
      </c>
      <c r="I29" s="122">
        <v>0</v>
      </c>
      <c r="J29" s="122">
        <v>0</v>
      </c>
      <c r="K29" s="122">
        <v>0</v>
      </c>
    </row>
    <row r="30" spans="1:11" ht="15.75">
      <c r="A30" s="122">
        <v>10</v>
      </c>
      <c r="B30" s="123" t="s">
        <v>28</v>
      </c>
      <c r="C30" s="124">
        <v>789</v>
      </c>
      <c r="D30" s="124">
        <v>756</v>
      </c>
      <c r="E30" s="122">
        <v>1545</v>
      </c>
      <c r="F30" s="122">
        <v>72</v>
      </c>
      <c r="G30" s="122">
        <v>26</v>
      </c>
      <c r="H30" s="122">
        <v>98</v>
      </c>
      <c r="I30" s="122">
        <v>2</v>
      </c>
      <c r="J30" s="122">
        <v>6</v>
      </c>
      <c r="K30" s="122">
        <v>8</v>
      </c>
    </row>
    <row r="31" spans="1:11" ht="15.75">
      <c r="A31" s="122">
        <v>11</v>
      </c>
      <c r="B31" s="123" t="s">
        <v>29</v>
      </c>
      <c r="C31" s="124">
        <v>1124</v>
      </c>
      <c r="D31" s="124">
        <v>1081</v>
      </c>
      <c r="E31" s="122">
        <v>2205</v>
      </c>
      <c r="F31" s="122">
        <v>46</v>
      </c>
      <c r="G31" s="122">
        <v>13</v>
      </c>
      <c r="H31" s="122">
        <v>59</v>
      </c>
      <c r="I31" s="122">
        <v>0</v>
      </c>
      <c r="J31" s="122">
        <v>0</v>
      </c>
      <c r="K31" s="122">
        <v>0</v>
      </c>
    </row>
    <row r="32" spans="1:11" ht="15.75">
      <c r="A32" s="420" t="s">
        <v>20</v>
      </c>
      <c r="B32" s="421"/>
      <c r="C32" s="127">
        <v>40798</v>
      </c>
      <c r="D32" s="127">
        <v>40015</v>
      </c>
      <c r="E32" s="127">
        <v>80813</v>
      </c>
      <c r="F32" s="127">
        <v>2737</v>
      </c>
      <c r="G32" s="127">
        <v>1073</v>
      </c>
      <c r="H32" s="127">
        <v>3810</v>
      </c>
      <c r="I32" s="127">
        <v>4</v>
      </c>
      <c r="J32" s="127">
        <v>0</v>
      </c>
      <c r="K32" s="127">
        <v>10</v>
      </c>
    </row>
    <row r="33" spans="1:11" ht="15.75">
      <c r="A33" s="55" t="s">
        <v>179</v>
      </c>
      <c r="B33" s="114"/>
      <c r="C33" s="114"/>
      <c r="D33" s="114"/>
      <c r="E33" s="114"/>
      <c r="F33" s="112"/>
      <c r="G33" s="112"/>
      <c r="H33" s="112"/>
      <c r="I33" s="109"/>
      <c r="J33" s="109"/>
      <c r="K33" s="109"/>
    </row>
    <row r="34" spans="1:11" ht="15.95" customHeight="1">
      <c r="A34" s="426" t="s">
        <v>527</v>
      </c>
      <c r="B34" s="426"/>
      <c r="C34" s="426"/>
      <c r="D34" s="426"/>
      <c r="E34" s="426"/>
      <c r="F34" s="426"/>
      <c r="G34" s="426"/>
      <c r="H34" s="426"/>
      <c r="I34" s="426"/>
      <c r="J34" s="426"/>
      <c r="K34" s="426"/>
    </row>
    <row r="35" spans="1:11" ht="15.75" customHeight="1">
      <c r="A35" s="427" t="s">
        <v>181</v>
      </c>
      <c r="B35" s="429" t="s">
        <v>180</v>
      </c>
      <c r="C35" s="429" t="s">
        <v>163</v>
      </c>
      <c r="D35" s="429"/>
      <c r="E35" s="429"/>
      <c r="F35" s="429" t="s">
        <v>134</v>
      </c>
      <c r="G35" s="429"/>
      <c r="H35" s="429"/>
      <c r="I35" s="429" t="s">
        <v>164</v>
      </c>
      <c r="J35" s="429"/>
      <c r="K35" s="429"/>
    </row>
    <row r="36" spans="1:11" ht="15.75">
      <c r="A36" s="428"/>
      <c r="B36" s="429"/>
      <c r="C36" s="130" t="s">
        <v>84</v>
      </c>
      <c r="D36" s="130" t="s">
        <v>85</v>
      </c>
      <c r="E36" s="130" t="s">
        <v>19</v>
      </c>
      <c r="F36" s="130" t="s">
        <v>84</v>
      </c>
      <c r="G36" s="130" t="s">
        <v>85</v>
      </c>
      <c r="H36" s="130" t="s">
        <v>19</v>
      </c>
      <c r="I36" s="130" t="s">
        <v>84</v>
      </c>
      <c r="J36" s="130" t="s">
        <v>85</v>
      </c>
      <c r="K36" s="130" t="s">
        <v>19</v>
      </c>
    </row>
    <row r="37" spans="1:11" ht="15.75">
      <c r="A37" s="131">
        <v>1</v>
      </c>
      <c r="B37" s="132" t="s">
        <v>30</v>
      </c>
      <c r="C37" s="133">
        <v>2491</v>
      </c>
      <c r="D37" s="133">
        <v>2600</v>
      </c>
      <c r="E37" s="131">
        <v>5091</v>
      </c>
      <c r="F37" s="131">
        <v>384</v>
      </c>
      <c r="G37" s="131">
        <v>212</v>
      </c>
      <c r="H37" s="131">
        <f>F37+G37</f>
        <v>596</v>
      </c>
      <c r="I37" s="131">
        <v>0</v>
      </c>
      <c r="J37" s="131">
        <v>0</v>
      </c>
      <c r="K37" s="131">
        <f t="shared" ref="K37:K47" si="4">I37+J37</f>
        <v>0</v>
      </c>
    </row>
    <row r="38" spans="1:11" ht="15.75">
      <c r="A38" s="131">
        <v>2</v>
      </c>
      <c r="B38" s="132" t="s">
        <v>26</v>
      </c>
      <c r="C38" s="133">
        <v>2009</v>
      </c>
      <c r="D38" s="133">
        <v>2045</v>
      </c>
      <c r="E38" s="131">
        <v>4054</v>
      </c>
      <c r="F38" s="131">
        <v>129</v>
      </c>
      <c r="G38" s="131">
        <v>61</v>
      </c>
      <c r="H38" s="131">
        <f t="shared" ref="H38:H47" si="5">F38+G38</f>
        <v>190</v>
      </c>
      <c r="I38" s="131">
        <v>3</v>
      </c>
      <c r="J38" s="131">
        <v>3</v>
      </c>
      <c r="K38" s="131">
        <f t="shared" si="4"/>
        <v>6</v>
      </c>
    </row>
    <row r="39" spans="1:11" ht="15.75">
      <c r="A39" s="131">
        <v>3</v>
      </c>
      <c r="B39" s="132" t="s">
        <v>22</v>
      </c>
      <c r="C39" s="133">
        <v>1618</v>
      </c>
      <c r="D39" s="133">
        <v>1631</v>
      </c>
      <c r="E39" s="131">
        <v>3249</v>
      </c>
      <c r="F39" s="131">
        <v>308</v>
      </c>
      <c r="G39" s="131">
        <v>160</v>
      </c>
      <c r="H39" s="131">
        <f t="shared" si="5"/>
        <v>468</v>
      </c>
      <c r="I39" s="131">
        <v>0</v>
      </c>
      <c r="J39" s="131">
        <v>0</v>
      </c>
      <c r="K39" s="131">
        <f t="shared" si="4"/>
        <v>0</v>
      </c>
    </row>
    <row r="40" spans="1:11" ht="15.75">
      <c r="A40" s="131">
        <v>4</v>
      </c>
      <c r="B40" s="132" t="s">
        <v>24</v>
      </c>
      <c r="C40" s="133">
        <v>683</v>
      </c>
      <c r="D40" s="133">
        <v>693</v>
      </c>
      <c r="E40" s="131">
        <v>1376</v>
      </c>
      <c r="F40" s="131">
        <v>47</v>
      </c>
      <c r="G40" s="131">
        <v>11</v>
      </c>
      <c r="H40" s="131">
        <f t="shared" si="5"/>
        <v>58</v>
      </c>
      <c r="I40" s="131">
        <v>0</v>
      </c>
      <c r="J40" s="131">
        <v>0</v>
      </c>
      <c r="K40" s="131">
        <f t="shared" si="4"/>
        <v>0</v>
      </c>
    </row>
    <row r="41" spans="1:11" ht="15.75">
      <c r="A41" s="131">
        <v>5</v>
      </c>
      <c r="B41" s="132" t="s">
        <v>23</v>
      </c>
      <c r="C41" s="134">
        <v>2198</v>
      </c>
      <c r="D41" s="134">
        <v>2067</v>
      </c>
      <c r="E41" s="131">
        <v>4265</v>
      </c>
      <c r="F41" s="135">
        <v>174</v>
      </c>
      <c r="G41" s="135">
        <v>66</v>
      </c>
      <c r="H41" s="131">
        <f t="shared" si="5"/>
        <v>240</v>
      </c>
      <c r="I41" s="131">
        <v>0</v>
      </c>
      <c r="J41" s="131">
        <v>0</v>
      </c>
      <c r="K41" s="131">
        <f t="shared" si="4"/>
        <v>0</v>
      </c>
    </row>
    <row r="42" spans="1:11" ht="15.75">
      <c r="A42" s="131">
        <v>6</v>
      </c>
      <c r="B42" s="132" t="s">
        <v>27</v>
      </c>
      <c r="C42" s="134">
        <v>4823</v>
      </c>
      <c r="D42" s="133">
        <v>4427</v>
      </c>
      <c r="E42" s="131">
        <v>9250</v>
      </c>
      <c r="F42" s="131">
        <v>170</v>
      </c>
      <c r="G42" s="131">
        <v>55</v>
      </c>
      <c r="H42" s="131">
        <f t="shared" si="5"/>
        <v>225</v>
      </c>
      <c r="I42" s="131">
        <v>0</v>
      </c>
      <c r="J42" s="131">
        <v>0</v>
      </c>
      <c r="K42" s="131">
        <f t="shared" si="4"/>
        <v>0</v>
      </c>
    </row>
    <row r="43" spans="1:11" ht="15.75">
      <c r="A43" s="131">
        <v>7</v>
      </c>
      <c r="B43" s="132" t="s">
        <v>21</v>
      </c>
      <c r="C43" s="134">
        <v>6484</v>
      </c>
      <c r="D43" s="133">
        <v>6381</v>
      </c>
      <c r="E43" s="131">
        <v>12865</v>
      </c>
      <c r="F43" s="131">
        <v>156</v>
      </c>
      <c r="G43" s="131">
        <v>42</v>
      </c>
      <c r="H43" s="131">
        <f t="shared" si="5"/>
        <v>198</v>
      </c>
      <c r="I43" s="131">
        <v>0</v>
      </c>
      <c r="J43" s="131">
        <v>0</v>
      </c>
      <c r="K43" s="131">
        <f t="shared" si="4"/>
        <v>0</v>
      </c>
    </row>
    <row r="44" spans="1:11" ht="15.75">
      <c r="A44" s="131">
        <v>8</v>
      </c>
      <c r="B44" s="132" t="s">
        <v>25</v>
      </c>
      <c r="C44" s="134">
        <v>10697</v>
      </c>
      <c r="D44" s="133">
        <v>11091</v>
      </c>
      <c r="E44" s="131">
        <v>21788</v>
      </c>
      <c r="F44" s="131">
        <v>1265</v>
      </c>
      <c r="G44" s="131">
        <v>511</v>
      </c>
      <c r="H44" s="131">
        <f t="shared" si="5"/>
        <v>1776</v>
      </c>
      <c r="I44" s="131">
        <v>0</v>
      </c>
      <c r="J44" s="131">
        <v>0</v>
      </c>
      <c r="K44" s="131">
        <f t="shared" si="4"/>
        <v>0</v>
      </c>
    </row>
    <row r="45" spans="1:11" ht="15.75">
      <c r="A45" s="131">
        <v>9</v>
      </c>
      <c r="B45" s="136" t="s">
        <v>31</v>
      </c>
      <c r="C45" s="133">
        <v>1115</v>
      </c>
      <c r="D45" s="133">
        <v>1075</v>
      </c>
      <c r="E45" s="131">
        <v>2190</v>
      </c>
      <c r="F45" s="131">
        <v>17</v>
      </c>
      <c r="G45" s="131">
        <v>11</v>
      </c>
      <c r="H45" s="131">
        <f t="shared" si="5"/>
        <v>28</v>
      </c>
      <c r="I45" s="131">
        <v>0</v>
      </c>
      <c r="J45" s="131">
        <v>0</v>
      </c>
      <c r="K45" s="131">
        <f t="shared" si="4"/>
        <v>0</v>
      </c>
    </row>
    <row r="46" spans="1:11" ht="15.75">
      <c r="A46" s="131">
        <v>10</v>
      </c>
      <c r="B46" s="132" t="s">
        <v>28</v>
      </c>
      <c r="C46" s="134">
        <v>324</v>
      </c>
      <c r="D46" s="134">
        <v>278</v>
      </c>
      <c r="E46" s="134">
        <v>602</v>
      </c>
      <c r="F46" s="134">
        <v>46</v>
      </c>
      <c r="G46" s="134">
        <v>69</v>
      </c>
      <c r="H46" s="131">
        <f t="shared" si="5"/>
        <v>115</v>
      </c>
      <c r="I46" s="137">
        <v>0</v>
      </c>
      <c r="J46" s="134">
        <v>0</v>
      </c>
      <c r="K46" s="131">
        <f t="shared" si="4"/>
        <v>0</v>
      </c>
    </row>
    <row r="47" spans="1:11" ht="15.75">
      <c r="A47" s="131">
        <v>11</v>
      </c>
      <c r="B47" s="132" t="s">
        <v>29</v>
      </c>
      <c r="C47" s="134">
        <v>439</v>
      </c>
      <c r="D47" s="134">
        <v>400</v>
      </c>
      <c r="E47" s="131">
        <v>839</v>
      </c>
      <c r="F47" s="131">
        <v>28</v>
      </c>
      <c r="G47" s="131">
        <v>6</v>
      </c>
      <c r="H47" s="131">
        <f t="shared" si="5"/>
        <v>34</v>
      </c>
      <c r="I47" s="131">
        <v>0</v>
      </c>
      <c r="J47" s="131">
        <v>0</v>
      </c>
      <c r="K47" s="131">
        <f t="shared" si="4"/>
        <v>0</v>
      </c>
    </row>
    <row r="48" spans="1:11" ht="15.75">
      <c r="A48" s="420" t="s">
        <v>20</v>
      </c>
      <c r="B48" s="421"/>
      <c r="C48" s="138">
        <f>SUM(C37:C47)</f>
        <v>32881</v>
      </c>
      <c r="D48" s="138">
        <f>SUM(D37:D47)</f>
        <v>32688</v>
      </c>
      <c r="E48" s="138">
        <f t="shared" ref="E48" si="6">SUM(C48:D48)</f>
        <v>65569</v>
      </c>
      <c r="F48" s="138">
        <f t="shared" ref="F48:K48" si="7">SUM(F37:F47)</f>
        <v>2724</v>
      </c>
      <c r="G48" s="138">
        <f t="shared" si="7"/>
        <v>1204</v>
      </c>
      <c r="H48" s="138">
        <f>SUM(H37:H47)</f>
        <v>3928</v>
      </c>
      <c r="I48" s="138">
        <f t="shared" si="7"/>
        <v>3</v>
      </c>
      <c r="J48" s="138">
        <f t="shared" si="7"/>
        <v>3</v>
      </c>
      <c r="K48" s="138">
        <f t="shared" si="7"/>
        <v>6</v>
      </c>
    </row>
    <row r="49" spans="1:11" ht="15.75">
      <c r="A49" s="139"/>
      <c r="B49" s="139"/>
      <c r="C49" s="140"/>
      <c r="D49" s="140"/>
      <c r="E49" s="140"/>
      <c r="F49" s="141"/>
      <c r="G49" s="141"/>
      <c r="H49" s="141"/>
      <c r="I49" s="140"/>
      <c r="J49" s="140"/>
      <c r="K49" s="140"/>
    </row>
    <row r="50" spans="1:11" ht="15.75">
      <c r="A50" s="55" t="s">
        <v>179</v>
      </c>
      <c r="B50" s="139"/>
      <c r="C50" s="139"/>
      <c r="D50" s="139"/>
      <c r="E50" s="139"/>
      <c r="F50" s="141"/>
      <c r="G50" s="141"/>
      <c r="H50" s="141"/>
      <c r="I50" s="140"/>
      <c r="J50" s="140"/>
      <c r="K50" s="140"/>
    </row>
  </sheetData>
  <sheetProtection selectLockedCells="1" selectUnlockedCells="1"/>
  <mergeCells count="21">
    <mergeCell ref="A48:B48"/>
    <mergeCell ref="A34:K34"/>
    <mergeCell ref="A35:A36"/>
    <mergeCell ref="B35:B36"/>
    <mergeCell ref="C35:E35"/>
    <mergeCell ref="F35:H35"/>
    <mergeCell ref="I35:K35"/>
    <mergeCell ref="I19:K19"/>
    <mergeCell ref="A1:K1"/>
    <mergeCell ref="A2:A3"/>
    <mergeCell ref="A18:K18"/>
    <mergeCell ref="B2:B3"/>
    <mergeCell ref="C2:E2"/>
    <mergeCell ref="F2:H2"/>
    <mergeCell ref="I2:K2"/>
    <mergeCell ref="A15:B15"/>
    <mergeCell ref="A32:B32"/>
    <mergeCell ref="A19:A20"/>
    <mergeCell ref="B19:B20"/>
    <mergeCell ref="C19:E19"/>
    <mergeCell ref="F19:H19"/>
  </mergeCells>
  <pageMargins left="1.02362204724409" right="0.74803149606299202" top="0.98425196850393704" bottom="0.23622047244094499" header="0.511811023622047" footer="0.15748031496063"/>
  <pageSetup paperSize="9" scale="79" firstPageNumber="4" orientation="portrait" useFirstPageNumber="1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7">
    <pageSetUpPr fitToPage="1"/>
  </sheetPr>
  <dimension ref="A1:CL53"/>
  <sheetViews>
    <sheetView workbookViewId="0">
      <selection activeCell="K9" sqref="K9"/>
    </sheetView>
  </sheetViews>
  <sheetFormatPr defaultRowHeight="13.5"/>
  <cols>
    <col min="1" max="1" width="17" style="53" customWidth="1"/>
    <col min="2" max="10" width="7.7109375" style="53" customWidth="1"/>
    <col min="11" max="11" width="17.140625" style="53" customWidth="1"/>
    <col min="12" max="83" width="9.140625" style="53"/>
    <col min="84" max="84" width="27.28515625" style="53" customWidth="1"/>
    <col min="85" max="85" width="9.140625" style="53"/>
    <col min="86" max="86" width="11" style="53" customWidth="1"/>
    <col min="87" max="89" width="9.140625" style="53"/>
    <col min="90" max="90" width="24" style="53" customWidth="1"/>
    <col min="91" max="256" width="9.140625" style="53"/>
    <col min="257" max="257" width="19.28515625" style="53" customWidth="1"/>
    <col min="258" max="258" width="13.28515625" style="53" customWidth="1"/>
    <col min="259" max="259" width="11.140625" style="53" customWidth="1"/>
    <col min="260" max="260" width="10.42578125" style="53" customWidth="1"/>
    <col min="261" max="261" width="11" style="53" customWidth="1"/>
    <col min="262" max="262" width="11.140625" style="53" customWidth="1"/>
    <col min="263" max="263" width="9.7109375" style="53" customWidth="1"/>
    <col min="264" max="264" width="9.85546875" style="53" customWidth="1"/>
    <col min="265" max="265" width="11.140625" style="53" customWidth="1"/>
    <col min="266" max="266" width="10.140625" style="53" customWidth="1"/>
    <col min="267" max="267" width="17.140625" style="53" customWidth="1"/>
    <col min="268" max="339" width="9.140625" style="53"/>
    <col min="340" max="340" width="27.28515625" style="53" customWidth="1"/>
    <col min="341" max="341" width="9.140625" style="53"/>
    <col min="342" max="342" width="11" style="53" customWidth="1"/>
    <col min="343" max="345" width="9.140625" style="53"/>
    <col min="346" max="346" width="24" style="53" customWidth="1"/>
    <col min="347" max="512" width="9.140625" style="53"/>
    <col min="513" max="513" width="19.28515625" style="53" customWidth="1"/>
    <col min="514" max="514" width="13.28515625" style="53" customWidth="1"/>
    <col min="515" max="515" width="11.140625" style="53" customWidth="1"/>
    <col min="516" max="516" width="10.42578125" style="53" customWidth="1"/>
    <col min="517" max="517" width="11" style="53" customWidth="1"/>
    <col min="518" max="518" width="11.140625" style="53" customWidth="1"/>
    <col min="519" max="519" width="9.7109375" style="53" customWidth="1"/>
    <col min="520" max="520" width="9.85546875" style="53" customWidth="1"/>
    <col min="521" max="521" width="11.140625" style="53" customWidth="1"/>
    <col min="522" max="522" width="10.140625" style="53" customWidth="1"/>
    <col min="523" max="523" width="17.140625" style="53" customWidth="1"/>
    <col min="524" max="595" width="9.140625" style="53"/>
    <col min="596" max="596" width="27.28515625" style="53" customWidth="1"/>
    <col min="597" max="597" width="9.140625" style="53"/>
    <col min="598" max="598" width="11" style="53" customWidth="1"/>
    <col min="599" max="601" width="9.140625" style="53"/>
    <col min="602" max="602" width="24" style="53" customWidth="1"/>
    <col min="603" max="768" width="9.140625" style="53"/>
    <col min="769" max="769" width="19.28515625" style="53" customWidth="1"/>
    <col min="770" max="770" width="13.28515625" style="53" customWidth="1"/>
    <col min="771" max="771" width="11.140625" style="53" customWidth="1"/>
    <col min="772" max="772" width="10.42578125" style="53" customWidth="1"/>
    <col min="773" max="773" width="11" style="53" customWidth="1"/>
    <col min="774" max="774" width="11.140625" style="53" customWidth="1"/>
    <col min="775" max="775" width="9.7109375" style="53" customWidth="1"/>
    <col min="776" max="776" width="9.85546875" style="53" customWidth="1"/>
    <col min="777" max="777" width="11.140625" style="53" customWidth="1"/>
    <col min="778" max="778" width="10.140625" style="53" customWidth="1"/>
    <col min="779" max="779" width="17.140625" style="53" customWidth="1"/>
    <col min="780" max="851" width="9.140625" style="53"/>
    <col min="852" max="852" width="27.28515625" style="53" customWidth="1"/>
    <col min="853" max="853" width="9.140625" style="53"/>
    <col min="854" max="854" width="11" style="53" customWidth="1"/>
    <col min="855" max="857" width="9.140625" style="53"/>
    <col min="858" max="858" width="24" style="53" customWidth="1"/>
    <col min="859" max="1024" width="9.140625" style="53"/>
    <col min="1025" max="1025" width="19.28515625" style="53" customWidth="1"/>
    <col min="1026" max="1026" width="13.28515625" style="53" customWidth="1"/>
    <col min="1027" max="1027" width="11.140625" style="53" customWidth="1"/>
    <col min="1028" max="1028" width="10.42578125" style="53" customWidth="1"/>
    <col min="1029" max="1029" width="11" style="53" customWidth="1"/>
    <col min="1030" max="1030" width="11.140625" style="53" customWidth="1"/>
    <col min="1031" max="1031" width="9.7109375" style="53" customWidth="1"/>
    <col min="1032" max="1032" width="9.85546875" style="53" customWidth="1"/>
    <col min="1033" max="1033" width="11.140625" style="53" customWidth="1"/>
    <col min="1034" max="1034" width="10.140625" style="53" customWidth="1"/>
    <col min="1035" max="1035" width="17.140625" style="53" customWidth="1"/>
    <col min="1036" max="1107" width="9.140625" style="53"/>
    <col min="1108" max="1108" width="27.28515625" style="53" customWidth="1"/>
    <col min="1109" max="1109" width="9.140625" style="53"/>
    <col min="1110" max="1110" width="11" style="53" customWidth="1"/>
    <col min="1111" max="1113" width="9.140625" style="53"/>
    <col min="1114" max="1114" width="24" style="53" customWidth="1"/>
    <col min="1115" max="1280" width="9.140625" style="53"/>
    <col min="1281" max="1281" width="19.28515625" style="53" customWidth="1"/>
    <col min="1282" max="1282" width="13.28515625" style="53" customWidth="1"/>
    <col min="1283" max="1283" width="11.140625" style="53" customWidth="1"/>
    <col min="1284" max="1284" width="10.42578125" style="53" customWidth="1"/>
    <col min="1285" max="1285" width="11" style="53" customWidth="1"/>
    <col min="1286" max="1286" width="11.140625" style="53" customWidth="1"/>
    <col min="1287" max="1287" width="9.7109375" style="53" customWidth="1"/>
    <col min="1288" max="1288" width="9.85546875" style="53" customWidth="1"/>
    <col min="1289" max="1289" width="11.140625" style="53" customWidth="1"/>
    <col min="1290" max="1290" width="10.140625" style="53" customWidth="1"/>
    <col min="1291" max="1291" width="17.140625" style="53" customWidth="1"/>
    <col min="1292" max="1363" width="9.140625" style="53"/>
    <col min="1364" max="1364" width="27.28515625" style="53" customWidth="1"/>
    <col min="1365" max="1365" width="9.140625" style="53"/>
    <col min="1366" max="1366" width="11" style="53" customWidth="1"/>
    <col min="1367" max="1369" width="9.140625" style="53"/>
    <col min="1370" max="1370" width="24" style="53" customWidth="1"/>
    <col min="1371" max="1536" width="9.140625" style="53"/>
    <col min="1537" max="1537" width="19.28515625" style="53" customWidth="1"/>
    <col min="1538" max="1538" width="13.28515625" style="53" customWidth="1"/>
    <col min="1539" max="1539" width="11.140625" style="53" customWidth="1"/>
    <col min="1540" max="1540" width="10.42578125" style="53" customWidth="1"/>
    <col min="1541" max="1541" width="11" style="53" customWidth="1"/>
    <col min="1542" max="1542" width="11.140625" style="53" customWidth="1"/>
    <col min="1543" max="1543" width="9.7109375" style="53" customWidth="1"/>
    <col min="1544" max="1544" width="9.85546875" style="53" customWidth="1"/>
    <col min="1545" max="1545" width="11.140625" style="53" customWidth="1"/>
    <col min="1546" max="1546" width="10.140625" style="53" customWidth="1"/>
    <col min="1547" max="1547" width="17.140625" style="53" customWidth="1"/>
    <col min="1548" max="1619" width="9.140625" style="53"/>
    <col min="1620" max="1620" width="27.28515625" style="53" customWidth="1"/>
    <col min="1621" max="1621" width="9.140625" style="53"/>
    <col min="1622" max="1622" width="11" style="53" customWidth="1"/>
    <col min="1623" max="1625" width="9.140625" style="53"/>
    <col min="1626" max="1626" width="24" style="53" customWidth="1"/>
    <col min="1627" max="1792" width="9.140625" style="53"/>
    <col min="1793" max="1793" width="19.28515625" style="53" customWidth="1"/>
    <col min="1794" max="1794" width="13.28515625" style="53" customWidth="1"/>
    <col min="1795" max="1795" width="11.140625" style="53" customWidth="1"/>
    <col min="1796" max="1796" width="10.42578125" style="53" customWidth="1"/>
    <col min="1797" max="1797" width="11" style="53" customWidth="1"/>
    <col min="1798" max="1798" width="11.140625" style="53" customWidth="1"/>
    <col min="1799" max="1799" width="9.7109375" style="53" customWidth="1"/>
    <col min="1800" max="1800" width="9.85546875" style="53" customWidth="1"/>
    <col min="1801" max="1801" width="11.140625" style="53" customWidth="1"/>
    <col min="1802" max="1802" width="10.140625" style="53" customWidth="1"/>
    <col min="1803" max="1803" width="17.140625" style="53" customWidth="1"/>
    <col min="1804" max="1875" width="9.140625" style="53"/>
    <col min="1876" max="1876" width="27.28515625" style="53" customWidth="1"/>
    <col min="1877" max="1877" width="9.140625" style="53"/>
    <col min="1878" max="1878" width="11" style="53" customWidth="1"/>
    <col min="1879" max="1881" width="9.140625" style="53"/>
    <col min="1882" max="1882" width="24" style="53" customWidth="1"/>
    <col min="1883" max="2048" width="9.140625" style="53"/>
    <col min="2049" max="2049" width="19.28515625" style="53" customWidth="1"/>
    <col min="2050" max="2050" width="13.28515625" style="53" customWidth="1"/>
    <col min="2051" max="2051" width="11.140625" style="53" customWidth="1"/>
    <col min="2052" max="2052" width="10.42578125" style="53" customWidth="1"/>
    <col min="2053" max="2053" width="11" style="53" customWidth="1"/>
    <col min="2054" max="2054" width="11.140625" style="53" customWidth="1"/>
    <col min="2055" max="2055" width="9.7109375" style="53" customWidth="1"/>
    <col min="2056" max="2056" width="9.85546875" style="53" customWidth="1"/>
    <col min="2057" max="2057" width="11.140625" style="53" customWidth="1"/>
    <col min="2058" max="2058" width="10.140625" style="53" customWidth="1"/>
    <col min="2059" max="2059" width="17.140625" style="53" customWidth="1"/>
    <col min="2060" max="2131" width="9.140625" style="53"/>
    <col min="2132" max="2132" width="27.28515625" style="53" customWidth="1"/>
    <col min="2133" max="2133" width="9.140625" style="53"/>
    <col min="2134" max="2134" width="11" style="53" customWidth="1"/>
    <col min="2135" max="2137" width="9.140625" style="53"/>
    <col min="2138" max="2138" width="24" style="53" customWidth="1"/>
    <col min="2139" max="2304" width="9.140625" style="53"/>
    <col min="2305" max="2305" width="19.28515625" style="53" customWidth="1"/>
    <col min="2306" max="2306" width="13.28515625" style="53" customWidth="1"/>
    <col min="2307" max="2307" width="11.140625" style="53" customWidth="1"/>
    <col min="2308" max="2308" width="10.42578125" style="53" customWidth="1"/>
    <col min="2309" max="2309" width="11" style="53" customWidth="1"/>
    <col min="2310" max="2310" width="11.140625" style="53" customWidth="1"/>
    <col min="2311" max="2311" width="9.7109375" style="53" customWidth="1"/>
    <col min="2312" max="2312" width="9.85546875" style="53" customWidth="1"/>
    <col min="2313" max="2313" width="11.140625" style="53" customWidth="1"/>
    <col min="2314" max="2314" width="10.140625" style="53" customWidth="1"/>
    <col min="2315" max="2315" width="17.140625" style="53" customWidth="1"/>
    <col min="2316" max="2387" width="9.140625" style="53"/>
    <col min="2388" max="2388" width="27.28515625" style="53" customWidth="1"/>
    <col min="2389" max="2389" width="9.140625" style="53"/>
    <col min="2390" max="2390" width="11" style="53" customWidth="1"/>
    <col min="2391" max="2393" width="9.140625" style="53"/>
    <col min="2394" max="2394" width="24" style="53" customWidth="1"/>
    <col min="2395" max="2560" width="9.140625" style="53"/>
    <col min="2561" max="2561" width="19.28515625" style="53" customWidth="1"/>
    <col min="2562" max="2562" width="13.28515625" style="53" customWidth="1"/>
    <col min="2563" max="2563" width="11.140625" style="53" customWidth="1"/>
    <col min="2564" max="2564" width="10.42578125" style="53" customWidth="1"/>
    <col min="2565" max="2565" width="11" style="53" customWidth="1"/>
    <col min="2566" max="2566" width="11.140625" style="53" customWidth="1"/>
    <col min="2567" max="2567" width="9.7109375" style="53" customWidth="1"/>
    <col min="2568" max="2568" width="9.85546875" style="53" customWidth="1"/>
    <col min="2569" max="2569" width="11.140625" style="53" customWidth="1"/>
    <col min="2570" max="2570" width="10.140625" style="53" customWidth="1"/>
    <col min="2571" max="2571" width="17.140625" style="53" customWidth="1"/>
    <col min="2572" max="2643" width="9.140625" style="53"/>
    <col min="2644" max="2644" width="27.28515625" style="53" customWidth="1"/>
    <col min="2645" max="2645" width="9.140625" style="53"/>
    <col min="2646" max="2646" width="11" style="53" customWidth="1"/>
    <col min="2647" max="2649" width="9.140625" style="53"/>
    <col min="2650" max="2650" width="24" style="53" customWidth="1"/>
    <col min="2651" max="2816" width="9.140625" style="53"/>
    <col min="2817" max="2817" width="19.28515625" style="53" customWidth="1"/>
    <col min="2818" max="2818" width="13.28515625" style="53" customWidth="1"/>
    <col min="2819" max="2819" width="11.140625" style="53" customWidth="1"/>
    <col min="2820" max="2820" width="10.42578125" style="53" customWidth="1"/>
    <col min="2821" max="2821" width="11" style="53" customWidth="1"/>
    <col min="2822" max="2822" width="11.140625" style="53" customWidth="1"/>
    <col min="2823" max="2823" width="9.7109375" style="53" customWidth="1"/>
    <col min="2824" max="2824" width="9.85546875" style="53" customWidth="1"/>
    <col min="2825" max="2825" width="11.140625" style="53" customWidth="1"/>
    <col min="2826" max="2826" width="10.140625" style="53" customWidth="1"/>
    <col min="2827" max="2827" width="17.140625" style="53" customWidth="1"/>
    <col min="2828" max="2899" width="9.140625" style="53"/>
    <col min="2900" max="2900" width="27.28515625" style="53" customWidth="1"/>
    <col min="2901" max="2901" width="9.140625" style="53"/>
    <col min="2902" max="2902" width="11" style="53" customWidth="1"/>
    <col min="2903" max="2905" width="9.140625" style="53"/>
    <col min="2906" max="2906" width="24" style="53" customWidth="1"/>
    <col min="2907" max="3072" width="9.140625" style="53"/>
    <col min="3073" max="3073" width="19.28515625" style="53" customWidth="1"/>
    <col min="3074" max="3074" width="13.28515625" style="53" customWidth="1"/>
    <col min="3075" max="3075" width="11.140625" style="53" customWidth="1"/>
    <col min="3076" max="3076" width="10.42578125" style="53" customWidth="1"/>
    <col min="3077" max="3077" width="11" style="53" customWidth="1"/>
    <col min="3078" max="3078" width="11.140625" style="53" customWidth="1"/>
    <col min="3079" max="3079" width="9.7109375" style="53" customWidth="1"/>
    <col min="3080" max="3080" width="9.85546875" style="53" customWidth="1"/>
    <col min="3081" max="3081" width="11.140625" style="53" customWidth="1"/>
    <col min="3082" max="3082" width="10.140625" style="53" customWidth="1"/>
    <col min="3083" max="3083" width="17.140625" style="53" customWidth="1"/>
    <col min="3084" max="3155" width="9.140625" style="53"/>
    <col min="3156" max="3156" width="27.28515625" style="53" customWidth="1"/>
    <col min="3157" max="3157" width="9.140625" style="53"/>
    <col min="3158" max="3158" width="11" style="53" customWidth="1"/>
    <col min="3159" max="3161" width="9.140625" style="53"/>
    <col min="3162" max="3162" width="24" style="53" customWidth="1"/>
    <col min="3163" max="3328" width="9.140625" style="53"/>
    <col min="3329" max="3329" width="19.28515625" style="53" customWidth="1"/>
    <col min="3330" max="3330" width="13.28515625" style="53" customWidth="1"/>
    <col min="3331" max="3331" width="11.140625" style="53" customWidth="1"/>
    <col min="3332" max="3332" width="10.42578125" style="53" customWidth="1"/>
    <col min="3333" max="3333" width="11" style="53" customWidth="1"/>
    <col min="3334" max="3334" width="11.140625" style="53" customWidth="1"/>
    <col min="3335" max="3335" width="9.7109375" style="53" customWidth="1"/>
    <col min="3336" max="3336" width="9.85546875" style="53" customWidth="1"/>
    <col min="3337" max="3337" width="11.140625" style="53" customWidth="1"/>
    <col min="3338" max="3338" width="10.140625" style="53" customWidth="1"/>
    <col min="3339" max="3339" width="17.140625" style="53" customWidth="1"/>
    <col min="3340" max="3411" width="9.140625" style="53"/>
    <col min="3412" max="3412" width="27.28515625" style="53" customWidth="1"/>
    <col min="3413" max="3413" width="9.140625" style="53"/>
    <col min="3414" max="3414" width="11" style="53" customWidth="1"/>
    <col min="3415" max="3417" width="9.140625" style="53"/>
    <col min="3418" max="3418" width="24" style="53" customWidth="1"/>
    <col min="3419" max="3584" width="9.140625" style="53"/>
    <col min="3585" max="3585" width="19.28515625" style="53" customWidth="1"/>
    <col min="3586" max="3586" width="13.28515625" style="53" customWidth="1"/>
    <col min="3587" max="3587" width="11.140625" style="53" customWidth="1"/>
    <col min="3588" max="3588" width="10.42578125" style="53" customWidth="1"/>
    <col min="3589" max="3589" width="11" style="53" customWidth="1"/>
    <col min="3590" max="3590" width="11.140625" style="53" customWidth="1"/>
    <col min="3591" max="3591" width="9.7109375" style="53" customWidth="1"/>
    <col min="3592" max="3592" width="9.85546875" style="53" customWidth="1"/>
    <col min="3593" max="3593" width="11.140625" style="53" customWidth="1"/>
    <col min="3594" max="3594" width="10.140625" style="53" customWidth="1"/>
    <col min="3595" max="3595" width="17.140625" style="53" customWidth="1"/>
    <col min="3596" max="3667" width="9.140625" style="53"/>
    <col min="3668" max="3668" width="27.28515625" style="53" customWidth="1"/>
    <col min="3669" max="3669" width="9.140625" style="53"/>
    <col min="3670" max="3670" width="11" style="53" customWidth="1"/>
    <col min="3671" max="3673" width="9.140625" style="53"/>
    <col min="3674" max="3674" width="24" style="53" customWidth="1"/>
    <col min="3675" max="3840" width="9.140625" style="53"/>
    <col min="3841" max="3841" width="19.28515625" style="53" customWidth="1"/>
    <col min="3842" max="3842" width="13.28515625" style="53" customWidth="1"/>
    <col min="3843" max="3843" width="11.140625" style="53" customWidth="1"/>
    <col min="3844" max="3844" width="10.42578125" style="53" customWidth="1"/>
    <col min="3845" max="3845" width="11" style="53" customWidth="1"/>
    <col min="3846" max="3846" width="11.140625" style="53" customWidth="1"/>
    <col min="3847" max="3847" width="9.7109375" style="53" customWidth="1"/>
    <col min="3848" max="3848" width="9.85546875" style="53" customWidth="1"/>
    <col min="3849" max="3849" width="11.140625" style="53" customWidth="1"/>
    <col min="3850" max="3850" width="10.140625" style="53" customWidth="1"/>
    <col min="3851" max="3851" width="17.140625" style="53" customWidth="1"/>
    <col min="3852" max="3923" width="9.140625" style="53"/>
    <col min="3924" max="3924" width="27.28515625" style="53" customWidth="1"/>
    <col min="3925" max="3925" width="9.140625" style="53"/>
    <col min="3926" max="3926" width="11" style="53" customWidth="1"/>
    <col min="3927" max="3929" width="9.140625" style="53"/>
    <col min="3930" max="3930" width="24" style="53" customWidth="1"/>
    <col min="3931" max="4096" width="9.140625" style="53"/>
    <col min="4097" max="4097" width="19.28515625" style="53" customWidth="1"/>
    <col min="4098" max="4098" width="13.28515625" style="53" customWidth="1"/>
    <col min="4099" max="4099" width="11.140625" style="53" customWidth="1"/>
    <col min="4100" max="4100" width="10.42578125" style="53" customWidth="1"/>
    <col min="4101" max="4101" width="11" style="53" customWidth="1"/>
    <col min="4102" max="4102" width="11.140625" style="53" customWidth="1"/>
    <col min="4103" max="4103" width="9.7109375" style="53" customWidth="1"/>
    <col min="4104" max="4104" width="9.85546875" style="53" customWidth="1"/>
    <col min="4105" max="4105" width="11.140625" style="53" customWidth="1"/>
    <col min="4106" max="4106" width="10.140625" style="53" customWidth="1"/>
    <col min="4107" max="4107" width="17.140625" style="53" customWidth="1"/>
    <col min="4108" max="4179" width="9.140625" style="53"/>
    <col min="4180" max="4180" width="27.28515625" style="53" customWidth="1"/>
    <col min="4181" max="4181" width="9.140625" style="53"/>
    <col min="4182" max="4182" width="11" style="53" customWidth="1"/>
    <col min="4183" max="4185" width="9.140625" style="53"/>
    <col min="4186" max="4186" width="24" style="53" customWidth="1"/>
    <col min="4187" max="4352" width="9.140625" style="53"/>
    <col min="4353" max="4353" width="19.28515625" style="53" customWidth="1"/>
    <col min="4354" max="4354" width="13.28515625" style="53" customWidth="1"/>
    <col min="4355" max="4355" width="11.140625" style="53" customWidth="1"/>
    <col min="4356" max="4356" width="10.42578125" style="53" customWidth="1"/>
    <col min="4357" max="4357" width="11" style="53" customWidth="1"/>
    <col min="4358" max="4358" width="11.140625" style="53" customWidth="1"/>
    <col min="4359" max="4359" width="9.7109375" style="53" customWidth="1"/>
    <col min="4360" max="4360" width="9.85546875" style="53" customWidth="1"/>
    <col min="4361" max="4361" width="11.140625" style="53" customWidth="1"/>
    <col min="4362" max="4362" width="10.140625" style="53" customWidth="1"/>
    <col min="4363" max="4363" width="17.140625" style="53" customWidth="1"/>
    <col min="4364" max="4435" width="9.140625" style="53"/>
    <col min="4436" max="4436" width="27.28515625" style="53" customWidth="1"/>
    <col min="4437" max="4437" width="9.140625" style="53"/>
    <col min="4438" max="4438" width="11" style="53" customWidth="1"/>
    <col min="4439" max="4441" width="9.140625" style="53"/>
    <col min="4442" max="4442" width="24" style="53" customWidth="1"/>
    <col min="4443" max="4608" width="9.140625" style="53"/>
    <col min="4609" max="4609" width="19.28515625" style="53" customWidth="1"/>
    <col min="4610" max="4610" width="13.28515625" style="53" customWidth="1"/>
    <col min="4611" max="4611" width="11.140625" style="53" customWidth="1"/>
    <col min="4612" max="4612" width="10.42578125" style="53" customWidth="1"/>
    <col min="4613" max="4613" width="11" style="53" customWidth="1"/>
    <col min="4614" max="4614" width="11.140625" style="53" customWidth="1"/>
    <col min="4615" max="4615" width="9.7109375" style="53" customWidth="1"/>
    <col min="4616" max="4616" width="9.85546875" style="53" customWidth="1"/>
    <col min="4617" max="4617" width="11.140625" style="53" customWidth="1"/>
    <col min="4618" max="4618" width="10.140625" style="53" customWidth="1"/>
    <col min="4619" max="4619" width="17.140625" style="53" customWidth="1"/>
    <col min="4620" max="4691" width="9.140625" style="53"/>
    <col min="4692" max="4692" width="27.28515625" style="53" customWidth="1"/>
    <col min="4693" max="4693" width="9.140625" style="53"/>
    <col min="4694" max="4694" width="11" style="53" customWidth="1"/>
    <col min="4695" max="4697" width="9.140625" style="53"/>
    <col min="4698" max="4698" width="24" style="53" customWidth="1"/>
    <col min="4699" max="4864" width="9.140625" style="53"/>
    <col min="4865" max="4865" width="19.28515625" style="53" customWidth="1"/>
    <col min="4866" max="4866" width="13.28515625" style="53" customWidth="1"/>
    <col min="4867" max="4867" width="11.140625" style="53" customWidth="1"/>
    <col min="4868" max="4868" width="10.42578125" style="53" customWidth="1"/>
    <col min="4869" max="4869" width="11" style="53" customWidth="1"/>
    <col min="4870" max="4870" width="11.140625" style="53" customWidth="1"/>
    <col min="4871" max="4871" width="9.7109375" style="53" customWidth="1"/>
    <col min="4872" max="4872" width="9.85546875" style="53" customWidth="1"/>
    <col min="4873" max="4873" width="11.140625" style="53" customWidth="1"/>
    <col min="4874" max="4874" width="10.140625" style="53" customWidth="1"/>
    <col min="4875" max="4875" width="17.140625" style="53" customWidth="1"/>
    <col min="4876" max="4947" width="9.140625" style="53"/>
    <col min="4948" max="4948" width="27.28515625" style="53" customWidth="1"/>
    <col min="4949" max="4949" width="9.140625" style="53"/>
    <col min="4950" max="4950" width="11" style="53" customWidth="1"/>
    <col min="4951" max="4953" width="9.140625" style="53"/>
    <col min="4954" max="4954" width="24" style="53" customWidth="1"/>
    <col min="4955" max="5120" width="9.140625" style="53"/>
    <col min="5121" max="5121" width="19.28515625" style="53" customWidth="1"/>
    <col min="5122" max="5122" width="13.28515625" style="53" customWidth="1"/>
    <col min="5123" max="5123" width="11.140625" style="53" customWidth="1"/>
    <col min="5124" max="5124" width="10.42578125" style="53" customWidth="1"/>
    <col min="5125" max="5125" width="11" style="53" customWidth="1"/>
    <col min="5126" max="5126" width="11.140625" style="53" customWidth="1"/>
    <col min="5127" max="5127" width="9.7109375" style="53" customWidth="1"/>
    <col min="5128" max="5128" width="9.85546875" style="53" customWidth="1"/>
    <col min="5129" max="5129" width="11.140625" style="53" customWidth="1"/>
    <col min="5130" max="5130" width="10.140625" style="53" customWidth="1"/>
    <col min="5131" max="5131" width="17.140625" style="53" customWidth="1"/>
    <col min="5132" max="5203" width="9.140625" style="53"/>
    <col min="5204" max="5204" width="27.28515625" style="53" customWidth="1"/>
    <col min="5205" max="5205" width="9.140625" style="53"/>
    <col min="5206" max="5206" width="11" style="53" customWidth="1"/>
    <col min="5207" max="5209" width="9.140625" style="53"/>
    <col min="5210" max="5210" width="24" style="53" customWidth="1"/>
    <col min="5211" max="5376" width="9.140625" style="53"/>
    <col min="5377" max="5377" width="19.28515625" style="53" customWidth="1"/>
    <col min="5378" max="5378" width="13.28515625" style="53" customWidth="1"/>
    <col min="5379" max="5379" width="11.140625" style="53" customWidth="1"/>
    <col min="5380" max="5380" width="10.42578125" style="53" customWidth="1"/>
    <col min="5381" max="5381" width="11" style="53" customWidth="1"/>
    <col min="5382" max="5382" width="11.140625" style="53" customWidth="1"/>
    <col min="5383" max="5383" width="9.7109375" style="53" customWidth="1"/>
    <col min="5384" max="5384" width="9.85546875" style="53" customWidth="1"/>
    <col min="5385" max="5385" width="11.140625" style="53" customWidth="1"/>
    <col min="5386" max="5386" width="10.140625" style="53" customWidth="1"/>
    <col min="5387" max="5387" width="17.140625" style="53" customWidth="1"/>
    <col min="5388" max="5459" width="9.140625" style="53"/>
    <col min="5460" max="5460" width="27.28515625" style="53" customWidth="1"/>
    <col min="5461" max="5461" width="9.140625" style="53"/>
    <col min="5462" max="5462" width="11" style="53" customWidth="1"/>
    <col min="5463" max="5465" width="9.140625" style="53"/>
    <col min="5466" max="5466" width="24" style="53" customWidth="1"/>
    <col min="5467" max="5632" width="9.140625" style="53"/>
    <col min="5633" max="5633" width="19.28515625" style="53" customWidth="1"/>
    <col min="5634" max="5634" width="13.28515625" style="53" customWidth="1"/>
    <col min="5635" max="5635" width="11.140625" style="53" customWidth="1"/>
    <col min="5636" max="5636" width="10.42578125" style="53" customWidth="1"/>
    <col min="5637" max="5637" width="11" style="53" customWidth="1"/>
    <col min="5638" max="5638" width="11.140625" style="53" customWidth="1"/>
    <col min="5639" max="5639" width="9.7109375" style="53" customWidth="1"/>
    <col min="5640" max="5640" width="9.85546875" style="53" customWidth="1"/>
    <col min="5641" max="5641" width="11.140625" style="53" customWidth="1"/>
    <col min="5642" max="5642" width="10.140625" style="53" customWidth="1"/>
    <col min="5643" max="5643" width="17.140625" style="53" customWidth="1"/>
    <col min="5644" max="5715" width="9.140625" style="53"/>
    <col min="5716" max="5716" width="27.28515625" style="53" customWidth="1"/>
    <col min="5717" max="5717" width="9.140625" style="53"/>
    <col min="5718" max="5718" width="11" style="53" customWidth="1"/>
    <col min="5719" max="5721" width="9.140625" style="53"/>
    <col min="5722" max="5722" width="24" style="53" customWidth="1"/>
    <col min="5723" max="5888" width="9.140625" style="53"/>
    <col min="5889" max="5889" width="19.28515625" style="53" customWidth="1"/>
    <col min="5890" max="5890" width="13.28515625" style="53" customWidth="1"/>
    <col min="5891" max="5891" width="11.140625" style="53" customWidth="1"/>
    <col min="5892" max="5892" width="10.42578125" style="53" customWidth="1"/>
    <col min="5893" max="5893" width="11" style="53" customWidth="1"/>
    <col min="5894" max="5894" width="11.140625" style="53" customWidth="1"/>
    <col min="5895" max="5895" width="9.7109375" style="53" customWidth="1"/>
    <col min="5896" max="5896" width="9.85546875" style="53" customWidth="1"/>
    <col min="5897" max="5897" width="11.140625" style="53" customWidth="1"/>
    <col min="5898" max="5898" width="10.140625" style="53" customWidth="1"/>
    <col min="5899" max="5899" width="17.140625" style="53" customWidth="1"/>
    <col min="5900" max="5971" width="9.140625" style="53"/>
    <col min="5972" max="5972" width="27.28515625" style="53" customWidth="1"/>
    <col min="5973" max="5973" width="9.140625" style="53"/>
    <col min="5974" max="5974" width="11" style="53" customWidth="1"/>
    <col min="5975" max="5977" width="9.140625" style="53"/>
    <col min="5978" max="5978" width="24" style="53" customWidth="1"/>
    <col min="5979" max="6144" width="9.140625" style="53"/>
    <col min="6145" max="6145" width="19.28515625" style="53" customWidth="1"/>
    <col min="6146" max="6146" width="13.28515625" style="53" customWidth="1"/>
    <col min="6147" max="6147" width="11.140625" style="53" customWidth="1"/>
    <col min="6148" max="6148" width="10.42578125" style="53" customWidth="1"/>
    <col min="6149" max="6149" width="11" style="53" customWidth="1"/>
    <col min="6150" max="6150" width="11.140625" style="53" customWidth="1"/>
    <col min="6151" max="6151" width="9.7109375" style="53" customWidth="1"/>
    <col min="6152" max="6152" width="9.85546875" style="53" customWidth="1"/>
    <col min="6153" max="6153" width="11.140625" style="53" customWidth="1"/>
    <col min="6154" max="6154" width="10.140625" style="53" customWidth="1"/>
    <col min="6155" max="6155" width="17.140625" style="53" customWidth="1"/>
    <col min="6156" max="6227" width="9.140625" style="53"/>
    <col min="6228" max="6228" width="27.28515625" style="53" customWidth="1"/>
    <col min="6229" max="6229" width="9.140625" style="53"/>
    <col min="6230" max="6230" width="11" style="53" customWidth="1"/>
    <col min="6231" max="6233" width="9.140625" style="53"/>
    <col min="6234" max="6234" width="24" style="53" customWidth="1"/>
    <col min="6235" max="6400" width="9.140625" style="53"/>
    <col min="6401" max="6401" width="19.28515625" style="53" customWidth="1"/>
    <col min="6402" max="6402" width="13.28515625" style="53" customWidth="1"/>
    <col min="6403" max="6403" width="11.140625" style="53" customWidth="1"/>
    <col min="6404" max="6404" width="10.42578125" style="53" customWidth="1"/>
    <col min="6405" max="6405" width="11" style="53" customWidth="1"/>
    <col min="6406" max="6406" width="11.140625" style="53" customWidth="1"/>
    <col min="6407" max="6407" width="9.7109375" style="53" customWidth="1"/>
    <col min="6408" max="6408" width="9.85546875" style="53" customWidth="1"/>
    <col min="6409" max="6409" width="11.140625" style="53" customWidth="1"/>
    <col min="6410" max="6410" width="10.140625" style="53" customWidth="1"/>
    <col min="6411" max="6411" width="17.140625" style="53" customWidth="1"/>
    <col min="6412" max="6483" width="9.140625" style="53"/>
    <col min="6484" max="6484" width="27.28515625" style="53" customWidth="1"/>
    <col min="6485" max="6485" width="9.140625" style="53"/>
    <col min="6486" max="6486" width="11" style="53" customWidth="1"/>
    <col min="6487" max="6489" width="9.140625" style="53"/>
    <col min="6490" max="6490" width="24" style="53" customWidth="1"/>
    <col min="6491" max="6656" width="9.140625" style="53"/>
    <col min="6657" max="6657" width="19.28515625" style="53" customWidth="1"/>
    <col min="6658" max="6658" width="13.28515625" style="53" customWidth="1"/>
    <col min="6659" max="6659" width="11.140625" style="53" customWidth="1"/>
    <col min="6660" max="6660" width="10.42578125" style="53" customWidth="1"/>
    <col min="6661" max="6661" width="11" style="53" customWidth="1"/>
    <col min="6662" max="6662" width="11.140625" style="53" customWidth="1"/>
    <col min="6663" max="6663" width="9.7109375" style="53" customWidth="1"/>
    <col min="6664" max="6664" width="9.85546875" style="53" customWidth="1"/>
    <col min="6665" max="6665" width="11.140625" style="53" customWidth="1"/>
    <col min="6666" max="6666" width="10.140625" style="53" customWidth="1"/>
    <col min="6667" max="6667" width="17.140625" style="53" customWidth="1"/>
    <col min="6668" max="6739" width="9.140625" style="53"/>
    <col min="6740" max="6740" width="27.28515625" style="53" customWidth="1"/>
    <col min="6741" max="6741" width="9.140625" style="53"/>
    <col min="6742" max="6742" width="11" style="53" customWidth="1"/>
    <col min="6743" max="6745" width="9.140625" style="53"/>
    <col min="6746" max="6746" width="24" style="53" customWidth="1"/>
    <col min="6747" max="6912" width="9.140625" style="53"/>
    <col min="6913" max="6913" width="19.28515625" style="53" customWidth="1"/>
    <col min="6914" max="6914" width="13.28515625" style="53" customWidth="1"/>
    <col min="6915" max="6915" width="11.140625" style="53" customWidth="1"/>
    <col min="6916" max="6916" width="10.42578125" style="53" customWidth="1"/>
    <col min="6917" max="6917" width="11" style="53" customWidth="1"/>
    <col min="6918" max="6918" width="11.140625" style="53" customWidth="1"/>
    <col min="6919" max="6919" width="9.7109375" style="53" customWidth="1"/>
    <col min="6920" max="6920" width="9.85546875" style="53" customWidth="1"/>
    <col min="6921" max="6921" width="11.140625" style="53" customWidth="1"/>
    <col min="6922" max="6922" width="10.140625" style="53" customWidth="1"/>
    <col min="6923" max="6923" width="17.140625" style="53" customWidth="1"/>
    <col min="6924" max="6995" width="9.140625" style="53"/>
    <col min="6996" max="6996" width="27.28515625" style="53" customWidth="1"/>
    <col min="6997" max="6997" width="9.140625" style="53"/>
    <col min="6998" max="6998" width="11" style="53" customWidth="1"/>
    <col min="6999" max="7001" width="9.140625" style="53"/>
    <col min="7002" max="7002" width="24" style="53" customWidth="1"/>
    <col min="7003" max="7168" width="9.140625" style="53"/>
    <col min="7169" max="7169" width="19.28515625" style="53" customWidth="1"/>
    <col min="7170" max="7170" width="13.28515625" style="53" customWidth="1"/>
    <col min="7171" max="7171" width="11.140625" style="53" customWidth="1"/>
    <col min="7172" max="7172" width="10.42578125" style="53" customWidth="1"/>
    <col min="7173" max="7173" width="11" style="53" customWidth="1"/>
    <col min="7174" max="7174" width="11.140625" style="53" customWidth="1"/>
    <col min="7175" max="7175" width="9.7109375" style="53" customWidth="1"/>
    <col min="7176" max="7176" width="9.85546875" style="53" customWidth="1"/>
    <col min="7177" max="7177" width="11.140625" style="53" customWidth="1"/>
    <col min="7178" max="7178" width="10.140625" style="53" customWidth="1"/>
    <col min="7179" max="7179" width="17.140625" style="53" customWidth="1"/>
    <col min="7180" max="7251" width="9.140625" style="53"/>
    <col min="7252" max="7252" width="27.28515625" style="53" customWidth="1"/>
    <col min="7253" max="7253" width="9.140625" style="53"/>
    <col min="7254" max="7254" width="11" style="53" customWidth="1"/>
    <col min="7255" max="7257" width="9.140625" style="53"/>
    <col min="7258" max="7258" width="24" style="53" customWidth="1"/>
    <col min="7259" max="7424" width="9.140625" style="53"/>
    <col min="7425" max="7425" width="19.28515625" style="53" customWidth="1"/>
    <col min="7426" max="7426" width="13.28515625" style="53" customWidth="1"/>
    <col min="7427" max="7427" width="11.140625" style="53" customWidth="1"/>
    <col min="7428" max="7428" width="10.42578125" style="53" customWidth="1"/>
    <col min="7429" max="7429" width="11" style="53" customWidth="1"/>
    <col min="7430" max="7430" width="11.140625" style="53" customWidth="1"/>
    <col min="7431" max="7431" width="9.7109375" style="53" customWidth="1"/>
    <col min="7432" max="7432" width="9.85546875" style="53" customWidth="1"/>
    <col min="7433" max="7433" width="11.140625" style="53" customWidth="1"/>
    <col min="7434" max="7434" width="10.140625" style="53" customWidth="1"/>
    <col min="7435" max="7435" width="17.140625" style="53" customWidth="1"/>
    <col min="7436" max="7507" width="9.140625" style="53"/>
    <col min="7508" max="7508" width="27.28515625" style="53" customWidth="1"/>
    <col min="7509" max="7509" width="9.140625" style="53"/>
    <col min="7510" max="7510" width="11" style="53" customWidth="1"/>
    <col min="7511" max="7513" width="9.140625" style="53"/>
    <col min="7514" max="7514" width="24" style="53" customWidth="1"/>
    <col min="7515" max="7680" width="9.140625" style="53"/>
    <col min="7681" max="7681" width="19.28515625" style="53" customWidth="1"/>
    <col min="7682" max="7682" width="13.28515625" style="53" customWidth="1"/>
    <col min="7683" max="7683" width="11.140625" style="53" customWidth="1"/>
    <col min="7684" max="7684" width="10.42578125" style="53" customWidth="1"/>
    <col min="7685" max="7685" width="11" style="53" customWidth="1"/>
    <col min="7686" max="7686" width="11.140625" style="53" customWidth="1"/>
    <col min="7687" max="7687" width="9.7109375" style="53" customWidth="1"/>
    <col min="7688" max="7688" width="9.85546875" style="53" customWidth="1"/>
    <col min="7689" max="7689" width="11.140625" style="53" customWidth="1"/>
    <col min="7690" max="7690" width="10.140625" style="53" customWidth="1"/>
    <col min="7691" max="7691" width="17.140625" style="53" customWidth="1"/>
    <col min="7692" max="7763" width="9.140625" style="53"/>
    <col min="7764" max="7764" width="27.28515625" style="53" customWidth="1"/>
    <col min="7765" max="7765" width="9.140625" style="53"/>
    <col min="7766" max="7766" width="11" style="53" customWidth="1"/>
    <col min="7767" max="7769" width="9.140625" style="53"/>
    <col min="7770" max="7770" width="24" style="53" customWidth="1"/>
    <col min="7771" max="7936" width="9.140625" style="53"/>
    <col min="7937" max="7937" width="19.28515625" style="53" customWidth="1"/>
    <col min="7938" max="7938" width="13.28515625" style="53" customWidth="1"/>
    <col min="7939" max="7939" width="11.140625" style="53" customWidth="1"/>
    <col min="7940" max="7940" width="10.42578125" style="53" customWidth="1"/>
    <col min="7941" max="7941" width="11" style="53" customWidth="1"/>
    <col min="7942" max="7942" width="11.140625" style="53" customWidth="1"/>
    <col min="7943" max="7943" width="9.7109375" style="53" customWidth="1"/>
    <col min="7944" max="7944" width="9.85546875" style="53" customWidth="1"/>
    <col min="7945" max="7945" width="11.140625" style="53" customWidth="1"/>
    <col min="7946" max="7946" width="10.140625" style="53" customWidth="1"/>
    <col min="7947" max="7947" width="17.140625" style="53" customWidth="1"/>
    <col min="7948" max="8019" width="9.140625" style="53"/>
    <col min="8020" max="8020" width="27.28515625" style="53" customWidth="1"/>
    <col min="8021" max="8021" width="9.140625" style="53"/>
    <col min="8022" max="8022" width="11" style="53" customWidth="1"/>
    <col min="8023" max="8025" width="9.140625" style="53"/>
    <col min="8026" max="8026" width="24" style="53" customWidth="1"/>
    <col min="8027" max="8192" width="9.140625" style="53"/>
    <col min="8193" max="8193" width="19.28515625" style="53" customWidth="1"/>
    <col min="8194" max="8194" width="13.28515625" style="53" customWidth="1"/>
    <col min="8195" max="8195" width="11.140625" style="53" customWidth="1"/>
    <col min="8196" max="8196" width="10.42578125" style="53" customWidth="1"/>
    <col min="8197" max="8197" width="11" style="53" customWidth="1"/>
    <col min="8198" max="8198" width="11.140625" style="53" customWidth="1"/>
    <col min="8199" max="8199" width="9.7109375" style="53" customWidth="1"/>
    <col min="8200" max="8200" width="9.85546875" style="53" customWidth="1"/>
    <col min="8201" max="8201" width="11.140625" style="53" customWidth="1"/>
    <col min="8202" max="8202" width="10.140625" style="53" customWidth="1"/>
    <col min="8203" max="8203" width="17.140625" style="53" customWidth="1"/>
    <col min="8204" max="8275" width="9.140625" style="53"/>
    <col min="8276" max="8276" width="27.28515625" style="53" customWidth="1"/>
    <col min="8277" max="8277" width="9.140625" style="53"/>
    <col min="8278" max="8278" width="11" style="53" customWidth="1"/>
    <col min="8279" max="8281" width="9.140625" style="53"/>
    <col min="8282" max="8282" width="24" style="53" customWidth="1"/>
    <col min="8283" max="8448" width="9.140625" style="53"/>
    <col min="8449" max="8449" width="19.28515625" style="53" customWidth="1"/>
    <col min="8450" max="8450" width="13.28515625" style="53" customWidth="1"/>
    <col min="8451" max="8451" width="11.140625" style="53" customWidth="1"/>
    <col min="8452" max="8452" width="10.42578125" style="53" customWidth="1"/>
    <col min="8453" max="8453" width="11" style="53" customWidth="1"/>
    <col min="8454" max="8454" width="11.140625" style="53" customWidth="1"/>
    <col min="8455" max="8455" width="9.7109375" style="53" customWidth="1"/>
    <col min="8456" max="8456" width="9.85546875" style="53" customWidth="1"/>
    <col min="8457" max="8457" width="11.140625" style="53" customWidth="1"/>
    <col min="8458" max="8458" width="10.140625" style="53" customWidth="1"/>
    <col min="8459" max="8459" width="17.140625" style="53" customWidth="1"/>
    <col min="8460" max="8531" width="9.140625" style="53"/>
    <col min="8532" max="8532" width="27.28515625" style="53" customWidth="1"/>
    <col min="8533" max="8533" width="9.140625" style="53"/>
    <col min="8534" max="8534" width="11" style="53" customWidth="1"/>
    <col min="8535" max="8537" width="9.140625" style="53"/>
    <col min="8538" max="8538" width="24" style="53" customWidth="1"/>
    <col min="8539" max="8704" width="9.140625" style="53"/>
    <col min="8705" max="8705" width="19.28515625" style="53" customWidth="1"/>
    <col min="8706" max="8706" width="13.28515625" style="53" customWidth="1"/>
    <col min="8707" max="8707" width="11.140625" style="53" customWidth="1"/>
    <col min="8708" max="8708" width="10.42578125" style="53" customWidth="1"/>
    <col min="8709" max="8709" width="11" style="53" customWidth="1"/>
    <col min="8710" max="8710" width="11.140625" style="53" customWidth="1"/>
    <col min="8711" max="8711" width="9.7109375" style="53" customWidth="1"/>
    <col min="8712" max="8712" width="9.85546875" style="53" customWidth="1"/>
    <col min="8713" max="8713" width="11.140625" style="53" customWidth="1"/>
    <col min="8714" max="8714" width="10.140625" style="53" customWidth="1"/>
    <col min="8715" max="8715" width="17.140625" style="53" customWidth="1"/>
    <col min="8716" max="8787" width="9.140625" style="53"/>
    <col min="8788" max="8788" width="27.28515625" style="53" customWidth="1"/>
    <col min="8789" max="8789" width="9.140625" style="53"/>
    <col min="8790" max="8790" width="11" style="53" customWidth="1"/>
    <col min="8791" max="8793" width="9.140625" style="53"/>
    <col min="8794" max="8794" width="24" style="53" customWidth="1"/>
    <col min="8795" max="8960" width="9.140625" style="53"/>
    <col min="8961" max="8961" width="19.28515625" style="53" customWidth="1"/>
    <col min="8962" max="8962" width="13.28515625" style="53" customWidth="1"/>
    <col min="8963" max="8963" width="11.140625" style="53" customWidth="1"/>
    <col min="8964" max="8964" width="10.42578125" style="53" customWidth="1"/>
    <col min="8965" max="8965" width="11" style="53" customWidth="1"/>
    <col min="8966" max="8966" width="11.140625" style="53" customWidth="1"/>
    <col min="8967" max="8967" width="9.7109375" style="53" customWidth="1"/>
    <col min="8968" max="8968" width="9.85546875" style="53" customWidth="1"/>
    <col min="8969" max="8969" width="11.140625" style="53" customWidth="1"/>
    <col min="8970" max="8970" width="10.140625" style="53" customWidth="1"/>
    <col min="8971" max="8971" width="17.140625" style="53" customWidth="1"/>
    <col min="8972" max="9043" width="9.140625" style="53"/>
    <col min="9044" max="9044" width="27.28515625" style="53" customWidth="1"/>
    <col min="9045" max="9045" width="9.140625" style="53"/>
    <col min="9046" max="9046" width="11" style="53" customWidth="1"/>
    <col min="9047" max="9049" width="9.140625" style="53"/>
    <col min="9050" max="9050" width="24" style="53" customWidth="1"/>
    <col min="9051" max="9216" width="9.140625" style="53"/>
    <col min="9217" max="9217" width="19.28515625" style="53" customWidth="1"/>
    <col min="9218" max="9218" width="13.28515625" style="53" customWidth="1"/>
    <col min="9219" max="9219" width="11.140625" style="53" customWidth="1"/>
    <col min="9220" max="9220" width="10.42578125" style="53" customWidth="1"/>
    <col min="9221" max="9221" width="11" style="53" customWidth="1"/>
    <col min="9222" max="9222" width="11.140625" style="53" customWidth="1"/>
    <col min="9223" max="9223" width="9.7109375" style="53" customWidth="1"/>
    <col min="9224" max="9224" width="9.85546875" style="53" customWidth="1"/>
    <col min="9225" max="9225" width="11.140625" style="53" customWidth="1"/>
    <col min="9226" max="9226" width="10.140625" style="53" customWidth="1"/>
    <col min="9227" max="9227" width="17.140625" style="53" customWidth="1"/>
    <col min="9228" max="9299" width="9.140625" style="53"/>
    <col min="9300" max="9300" width="27.28515625" style="53" customWidth="1"/>
    <col min="9301" max="9301" width="9.140625" style="53"/>
    <col min="9302" max="9302" width="11" style="53" customWidth="1"/>
    <col min="9303" max="9305" width="9.140625" style="53"/>
    <col min="9306" max="9306" width="24" style="53" customWidth="1"/>
    <col min="9307" max="9472" width="9.140625" style="53"/>
    <col min="9473" max="9473" width="19.28515625" style="53" customWidth="1"/>
    <col min="9474" max="9474" width="13.28515625" style="53" customWidth="1"/>
    <col min="9475" max="9475" width="11.140625" style="53" customWidth="1"/>
    <col min="9476" max="9476" width="10.42578125" style="53" customWidth="1"/>
    <col min="9477" max="9477" width="11" style="53" customWidth="1"/>
    <col min="9478" max="9478" width="11.140625" style="53" customWidth="1"/>
    <col min="9479" max="9479" width="9.7109375" style="53" customWidth="1"/>
    <col min="9480" max="9480" width="9.85546875" style="53" customWidth="1"/>
    <col min="9481" max="9481" width="11.140625" style="53" customWidth="1"/>
    <col min="9482" max="9482" width="10.140625" style="53" customWidth="1"/>
    <col min="9483" max="9483" width="17.140625" style="53" customWidth="1"/>
    <col min="9484" max="9555" width="9.140625" style="53"/>
    <col min="9556" max="9556" width="27.28515625" style="53" customWidth="1"/>
    <col min="9557" max="9557" width="9.140625" style="53"/>
    <col min="9558" max="9558" width="11" style="53" customWidth="1"/>
    <col min="9559" max="9561" width="9.140625" style="53"/>
    <col min="9562" max="9562" width="24" style="53" customWidth="1"/>
    <col min="9563" max="9728" width="9.140625" style="53"/>
    <col min="9729" max="9729" width="19.28515625" style="53" customWidth="1"/>
    <col min="9730" max="9730" width="13.28515625" style="53" customWidth="1"/>
    <col min="9731" max="9731" width="11.140625" style="53" customWidth="1"/>
    <col min="9732" max="9732" width="10.42578125" style="53" customWidth="1"/>
    <col min="9733" max="9733" width="11" style="53" customWidth="1"/>
    <col min="9734" max="9734" width="11.140625" style="53" customWidth="1"/>
    <col min="9735" max="9735" width="9.7109375" style="53" customWidth="1"/>
    <col min="9736" max="9736" width="9.85546875" style="53" customWidth="1"/>
    <col min="9737" max="9737" width="11.140625" style="53" customWidth="1"/>
    <col min="9738" max="9738" width="10.140625" style="53" customWidth="1"/>
    <col min="9739" max="9739" width="17.140625" style="53" customWidth="1"/>
    <col min="9740" max="9811" width="9.140625" style="53"/>
    <col min="9812" max="9812" width="27.28515625" style="53" customWidth="1"/>
    <col min="9813" max="9813" width="9.140625" style="53"/>
    <col min="9814" max="9814" width="11" style="53" customWidth="1"/>
    <col min="9815" max="9817" width="9.140625" style="53"/>
    <col min="9818" max="9818" width="24" style="53" customWidth="1"/>
    <col min="9819" max="9984" width="9.140625" style="53"/>
    <col min="9985" max="9985" width="19.28515625" style="53" customWidth="1"/>
    <col min="9986" max="9986" width="13.28515625" style="53" customWidth="1"/>
    <col min="9987" max="9987" width="11.140625" style="53" customWidth="1"/>
    <col min="9988" max="9988" width="10.42578125" style="53" customWidth="1"/>
    <col min="9989" max="9989" width="11" style="53" customWidth="1"/>
    <col min="9990" max="9990" width="11.140625" style="53" customWidth="1"/>
    <col min="9991" max="9991" width="9.7109375" style="53" customWidth="1"/>
    <col min="9992" max="9992" width="9.85546875" style="53" customWidth="1"/>
    <col min="9993" max="9993" width="11.140625" style="53" customWidth="1"/>
    <col min="9994" max="9994" width="10.140625" style="53" customWidth="1"/>
    <col min="9995" max="9995" width="17.140625" style="53" customWidth="1"/>
    <col min="9996" max="10067" width="9.140625" style="53"/>
    <col min="10068" max="10068" width="27.28515625" style="53" customWidth="1"/>
    <col min="10069" max="10069" width="9.140625" style="53"/>
    <col min="10070" max="10070" width="11" style="53" customWidth="1"/>
    <col min="10071" max="10073" width="9.140625" style="53"/>
    <col min="10074" max="10074" width="24" style="53" customWidth="1"/>
    <col min="10075" max="10240" width="9.140625" style="53"/>
    <col min="10241" max="10241" width="19.28515625" style="53" customWidth="1"/>
    <col min="10242" max="10242" width="13.28515625" style="53" customWidth="1"/>
    <col min="10243" max="10243" width="11.140625" style="53" customWidth="1"/>
    <col min="10244" max="10244" width="10.42578125" style="53" customWidth="1"/>
    <col min="10245" max="10245" width="11" style="53" customWidth="1"/>
    <col min="10246" max="10246" width="11.140625" style="53" customWidth="1"/>
    <col min="10247" max="10247" width="9.7109375" style="53" customWidth="1"/>
    <col min="10248" max="10248" width="9.85546875" style="53" customWidth="1"/>
    <col min="10249" max="10249" width="11.140625" style="53" customWidth="1"/>
    <col min="10250" max="10250" width="10.140625" style="53" customWidth="1"/>
    <col min="10251" max="10251" width="17.140625" style="53" customWidth="1"/>
    <col min="10252" max="10323" width="9.140625" style="53"/>
    <col min="10324" max="10324" width="27.28515625" style="53" customWidth="1"/>
    <col min="10325" max="10325" width="9.140625" style="53"/>
    <col min="10326" max="10326" width="11" style="53" customWidth="1"/>
    <col min="10327" max="10329" width="9.140625" style="53"/>
    <col min="10330" max="10330" width="24" style="53" customWidth="1"/>
    <col min="10331" max="10496" width="9.140625" style="53"/>
    <col min="10497" max="10497" width="19.28515625" style="53" customWidth="1"/>
    <col min="10498" max="10498" width="13.28515625" style="53" customWidth="1"/>
    <col min="10499" max="10499" width="11.140625" style="53" customWidth="1"/>
    <col min="10500" max="10500" width="10.42578125" style="53" customWidth="1"/>
    <col min="10501" max="10501" width="11" style="53" customWidth="1"/>
    <col min="10502" max="10502" width="11.140625" style="53" customWidth="1"/>
    <col min="10503" max="10503" width="9.7109375" style="53" customWidth="1"/>
    <col min="10504" max="10504" width="9.85546875" style="53" customWidth="1"/>
    <col min="10505" max="10505" width="11.140625" style="53" customWidth="1"/>
    <col min="10506" max="10506" width="10.140625" style="53" customWidth="1"/>
    <col min="10507" max="10507" width="17.140625" style="53" customWidth="1"/>
    <col min="10508" max="10579" width="9.140625" style="53"/>
    <col min="10580" max="10580" width="27.28515625" style="53" customWidth="1"/>
    <col min="10581" max="10581" width="9.140625" style="53"/>
    <col min="10582" max="10582" width="11" style="53" customWidth="1"/>
    <col min="10583" max="10585" width="9.140625" style="53"/>
    <col min="10586" max="10586" width="24" style="53" customWidth="1"/>
    <col min="10587" max="10752" width="9.140625" style="53"/>
    <col min="10753" max="10753" width="19.28515625" style="53" customWidth="1"/>
    <col min="10754" max="10754" width="13.28515625" style="53" customWidth="1"/>
    <col min="10755" max="10755" width="11.140625" style="53" customWidth="1"/>
    <col min="10756" max="10756" width="10.42578125" style="53" customWidth="1"/>
    <col min="10757" max="10757" width="11" style="53" customWidth="1"/>
    <col min="10758" max="10758" width="11.140625" style="53" customWidth="1"/>
    <col min="10759" max="10759" width="9.7109375" style="53" customWidth="1"/>
    <col min="10760" max="10760" width="9.85546875" style="53" customWidth="1"/>
    <col min="10761" max="10761" width="11.140625" style="53" customWidth="1"/>
    <col min="10762" max="10762" width="10.140625" style="53" customWidth="1"/>
    <col min="10763" max="10763" width="17.140625" style="53" customWidth="1"/>
    <col min="10764" max="10835" width="9.140625" style="53"/>
    <col min="10836" max="10836" width="27.28515625" style="53" customWidth="1"/>
    <col min="10837" max="10837" width="9.140625" style="53"/>
    <col min="10838" max="10838" width="11" style="53" customWidth="1"/>
    <col min="10839" max="10841" width="9.140625" style="53"/>
    <col min="10842" max="10842" width="24" style="53" customWidth="1"/>
    <col min="10843" max="11008" width="9.140625" style="53"/>
    <col min="11009" max="11009" width="19.28515625" style="53" customWidth="1"/>
    <col min="11010" max="11010" width="13.28515625" style="53" customWidth="1"/>
    <col min="11011" max="11011" width="11.140625" style="53" customWidth="1"/>
    <col min="11012" max="11012" width="10.42578125" style="53" customWidth="1"/>
    <col min="11013" max="11013" width="11" style="53" customWidth="1"/>
    <col min="11014" max="11014" width="11.140625" style="53" customWidth="1"/>
    <col min="11015" max="11015" width="9.7109375" style="53" customWidth="1"/>
    <col min="11016" max="11016" width="9.85546875" style="53" customWidth="1"/>
    <col min="11017" max="11017" width="11.140625" style="53" customWidth="1"/>
    <col min="11018" max="11018" width="10.140625" style="53" customWidth="1"/>
    <col min="11019" max="11019" width="17.140625" style="53" customWidth="1"/>
    <col min="11020" max="11091" width="9.140625" style="53"/>
    <col min="11092" max="11092" width="27.28515625" style="53" customWidth="1"/>
    <col min="11093" max="11093" width="9.140625" style="53"/>
    <col min="11094" max="11094" width="11" style="53" customWidth="1"/>
    <col min="11095" max="11097" width="9.140625" style="53"/>
    <col min="11098" max="11098" width="24" style="53" customWidth="1"/>
    <col min="11099" max="11264" width="9.140625" style="53"/>
    <col min="11265" max="11265" width="19.28515625" style="53" customWidth="1"/>
    <col min="11266" max="11266" width="13.28515625" style="53" customWidth="1"/>
    <col min="11267" max="11267" width="11.140625" style="53" customWidth="1"/>
    <col min="11268" max="11268" width="10.42578125" style="53" customWidth="1"/>
    <col min="11269" max="11269" width="11" style="53" customWidth="1"/>
    <col min="11270" max="11270" width="11.140625" style="53" customWidth="1"/>
    <col min="11271" max="11271" width="9.7109375" style="53" customWidth="1"/>
    <col min="11272" max="11272" width="9.85546875" style="53" customWidth="1"/>
    <col min="11273" max="11273" width="11.140625" style="53" customWidth="1"/>
    <col min="11274" max="11274" width="10.140625" style="53" customWidth="1"/>
    <col min="11275" max="11275" width="17.140625" style="53" customWidth="1"/>
    <col min="11276" max="11347" width="9.140625" style="53"/>
    <col min="11348" max="11348" width="27.28515625" style="53" customWidth="1"/>
    <col min="11349" max="11349" width="9.140625" style="53"/>
    <col min="11350" max="11350" width="11" style="53" customWidth="1"/>
    <col min="11351" max="11353" width="9.140625" style="53"/>
    <col min="11354" max="11354" width="24" style="53" customWidth="1"/>
    <col min="11355" max="11520" width="9.140625" style="53"/>
    <col min="11521" max="11521" width="19.28515625" style="53" customWidth="1"/>
    <col min="11522" max="11522" width="13.28515625" style="53" customWidth="1"/>
    <col min="11523" max="11523" width="11.140625" style="53" customWidth="1"/>
    <col min="11524" max="11524" width="10.42578125" style="53" customWidth="1"/>
    <col min="11525" max="11525" width="11" style="53" customWidth="1"/>
    <col min="11526" max="11526" width="11.140625" style="53" customWidth="1"/>
    <col min="11527" max="11527" width="9.7109375" style="53" customWidth="1"/>
    <col min="11528" max="11528" width="9.85546875" style="53" customWidth="1"/>
    <col min="11529" max="11529" width="11.140625" style="53" customWidth="1"/>
    <col min="11530" max="11530" width="10.140625" style="53" customWidth="1"/>
    <col min="11531" max="11531" width="17.140625" style="53" customWidth="1"/>
    <col min="11532" max="11603" width="9.140625" style="53"/>
    <col min="11604" max="11604" width="27.28515625" style="53" customWidth="1"/>
    <col min="11605" max="11605" width="9.140625" style="53"/>
    <col min="11606" max="11606" width="11" style="53" customWidth="1"/>
    <col min="11607" max="11609" width="9.140625" style="53"/>
    <col min="11610" max="11610" width="24" style="53" customWidth="1"/>
    <col min="11611" max="11776" width="9.140625" style="53"/>
    <col min="11777" max="11777" width="19.28515625" style="53" customWidth="1"/>
    <col min="11778" max="11778" width="13.28515625" style="53" customWidth="1"/>
    <col min="11779" max="11779" width="11.140625" style="53" customWidth="1"/>
    <col min="11780" max="11780" width="10.42578125" style="53" customWidth="1"/>
    <col min="11781" max="11781" width="11" style="53" customWidth="1"/>
    <col min="11782" max="11782" width="11.140625" style="53" customWidth="1"/>
    <col min="11783" max="11783" width="9.7109375" style="53" customWidth="1"/>
    <col min="11784" max="11784" width="9.85546875" style="53" customWidth="1"/>
    <col min="11785" max="11785" width="11.140625" style="53" customWidth="1"/>
    <col min="11786" max="11786" width="10.140625" style="53" customWidth="1"/>
    <col min="11787" max="11787" width="17.140625" style="53" customWidth="1"/>
    <col min="11788" max="11859" width="9.140625" style="53"/>
    <col min="11860" max="11860" width="27.28515625" style="53" customWidth="1"/>
    <col min="11861" max="11861" width="9.140625" style="53"/>
    <col min="11862" max="11862" width="11" style="53" customWidth="1"/>
    <col min="11863" max="11865" width="9.140625" style="53"/>
    <col min="11866" max="11866" width="24" style="53" customWidth="1"/>
    <col min="11867" max="12032" width="9.140625" style="53"/>
    <col min="12033" max="12033" width="19.28515625" style="53" customWidth="1"/>
    <col min="12034" max="12034" width="13.28515625" style="53" customWidth="1"/>
    <col min="12035" max="12035" width="11.140625" style="53" customWidth="1"/>
    <col min="12036" max="12036" width="10.42578125" style="53" customWidth="1"/>
    <col min="12037" max="12037" width="11" style="53" customWidth="1"/>
    <col min="12038" max="12038" width="11.140625" style="53" customWidth="1"/>
    <col min="12039" max="12039" width="9.7109375" style="53" customWidth="1"/>
    <col min="12040" max="12040" width="9.85546875" style="53" customWidth="1"/>
    <col min="12041" max="12041" width="11.140625" style="53" customWidth="1"/>
    <col min="12042" max="12042" width="10.140625" style="53" customWidth="1"/>
    <col min="12043" max="12043" width="17.140625" style="53" customWidth="1"/>
    <col min="12044" max="12115" width="9.140625" style="53"/>
    <col min="12116" max="12116" width="27.28515625" style="53" customWidth="1"/>
    <col min="12117" max="12117" width="9.140625" style="53"/>
    <col min="12118" max="12118" width="11" style="53" customWidth="1"/>
    <col min="12119" max="12121" width="9.140625" style="53"/>
    <col min="12122" max="12122" width="24" style="53" customWidth="1"/>
    <col min="12123" max="12288" width="9.140625" style="53"/>
    <col min="12289" max="12289" width="19.28515625" style="53" customWidth="1"/>
    <col min="12290" max="12290" width="13.28515625" style="53" customWidth="1"/>
    <col min="12291" max="12291" width="11.140625" style="53" customWidth="1"/>
    <col min="12292" max="12292" width="10.42578125" style="53" customWidth="1"/>
    <col min="12293" max="12293" width="11" style="53" customWidth="1"/>
    <col min="12294" max="12294" width="11.140625" style="53" customWidth="1"/>
    <col min="12295" max="12295" width="9.7109375" style="53" customWidth="1"/>
    <col min="12296" max="12296" width="9.85546875" style="53" customWidth="1"/>
    <col min="12297" max="12297" width="11.140625" style="53" customWidth="1"/>
    <col min="12298" max="12298" width="10.140625" style="53" customWidth="1"/>
    <col min="12299" max="12299" width="17.140625" style="53" customWidth="1"/>
    <col min="12300" max="12371" width="9.140625" style="53"/>
    <col min="12372" max="12372" width="27.28515625" style="53" customWidth="1"/>
    <col min="12373" max="12373" width="9.140625" style="53"/>
    <col min="12374" max="12374" width="11" style="53" customWidth="1"/>
    <col min="12375" max="12377" width="9.140625" style="53"/>
    <col min="12378" max="12378" width="24" style="53" customWidth="1"/>
    <col min="12379" max="12544" width="9.140625" style="53"/>
    <col min="12545" max="12545" width="19.28515625" style="53" customWidth="1"/>
    <col min="12546" max="12546" width="13.28515625" style="53" customWidth="1"/>
    <col min="12547" max="12547" width="11.140625" style="53" customWidth="1"/>
    <col min="12548" max="12548" width="10.42578125" style="53" customWidth="1"/>
    <col min="12549" max="12549" width="11" style="53" customWidth="1"/>
    <col min="12550" max="12550" width="11.140625" style="53" customWidth="1"/>
    <col min="12551" max="12551" width="9.7109375" style="53" customWidth="1"/>
    <col min="12552" max="12552" width="9.85546875" style="53" customWidth="1"/>
    <col min="12553" max="12553" width="11.140625" style="53" customWidth="1"/>
    <col min="12554" max="12554" width="10.140625" style="53" customWidth="1"/>
    <col min="12555" max="12555" width="17.140625" style="53" customWidth="1"/>
    <col min="12556" max="12627" width="9.140625" style="53"/>
    <col min="12628" max="12628" width="27.28515625" style="53" customWidth="1"/>
    <col min="12629" max="12629" width="9.140625" style="53"/>
    <col min="12630" max="12630" width="11" style="53" customWidth="1"/>
    <col min="12631" max="12633" width="9.140625" style="53"/>
    <col min="12634" max="12634" width="24" style="53" customWidth="1"/>
    <col min="12635" max="12800" width="9.140625" style="53"/>
    <col min="12801" max="12801" width="19.28515625" style="53" customWidth="1"/>
    <col min="12802" max="12802" width="13.28515625" style="53" customWidth="1"/>
    <col min="12803" max="12803" width="11.140625" style="53" customWidth="1"/>
    <col min="12804" max="12804" width="10.42578125" style="53" customWidth="1"/>
    <col min="12805" max="12805" width="11" style="53" customWidth="1"/>
    <col min="12806" max="12806" width="11.140625" style="53" customWidth="1"/>
    <col min="12807" max="12807" width="9.7109375" style="53" customWidth="1"/>
    <col min="12808" max="12808" width="9.85546875" style="53" customWidth="1"/>
    <col min="12809" max="12809" width="11.140625" style="53" customWidth="1"/>
    <col min="12810" max="12810" width="10.140625" style="53" customWidth="1"/>
    <col min="12811" max="12811" width="17.140625" style="53" customWidth="1"/>
    <col min="12812" max="12883" width="9.140625" style="53"/>
    <col min="12884" max="12884" width="27.28515625" style="53" customWidth="1"/>
    <col min="12885" max="12885" width="9.140625" style="53"/>
    <col min="12886" max="12886" width="11" style="53" customWidth="1"/>
    <col min="12887" max="12889" width="9.140625" style="53"/>
    <col min="12890" max="12890" width="24" style="53" customWidth="1"/>
    <col min="12891" max="13056" width="9.140625" style="53"/>
    <col min="13057" max="13057" width="19.28515625" style="53" customWidth="1"/>
    <col min="13058" max="13058" width="13.28515625" style="53" customWidth="1"/>
    <col min="13059" max="13059" width="11.140625" style="53" customWidth="1"/>
    <col min="13060" max="13060" width="10.42578125" style="53" customWidth="1"/>
    <col min="13061" max="13061" width="11" style="53" customWidth="1"/>
    <col min="13062" max="13062" width="11.140625" style="53" customWidth="1"/>
    <col min="13063" max="13063" width="9.7109375" style="53" customWidth="1"/>
    <col min="13064" max="13064" width="9.85546875" style="53" customWidth="1"/>
    <col min="13065" max="13065" width="11.140625" style="53" customWidth="1"/>
    <col min="13066" max="13066" width="10.140625" style="53" customWidth="1"/>
    <col min="13067" max="13067" width="17.140625" style="53" customWidth="1"/>
    <col min="13068" max="13139" width="9.140625" style="53"/>
    <col min="13140" max="13140" width="27.28515625" style="53" customWidth="1"/>
    <col min="13141" max="13141" width="9.140625" style="53"/>
    <col min="13142" max="13142" width="11" style="53" customWidth="1"/>
    <col min="13143" max="13145" width="9.140625" style="53"/>
    <col min="13146" max="13146" width="24" style="53" customWidth="1"/>
    <col min="13147" max="13312" width="9.140625" style="53"/>
    <col min="13313" max="13313" width="19.28515625" style="53" customWidth="1"/>
    <col min="13314" max="13314" width="13.28515625" style="53" customWidth="1"/>
    <col min="13315" max="13315" width="11.140625" style="53" customWidth="1"/>
    <col min="13316" max="13316" width="10.42578125" style="53" customWidth="1"/>
    <col min="13317" max="13317" width="11" style="53" customWidth="1"/>
    <col min="13318" max="13318" width="11.140625" style="53" customWidth="1"/>
    <col min="13319" max="13319" width="9.7109375" style="53" customWidth="1"/>
    <col min="13320" max="13320" width="9.85546875" style="53" customWidth="1"/>
    <col min="13321" max="13321" width="11.140625" style="53" customWidth="1"/>
    <col min="13322" max="13322" width="10.140625" style="53" customWidth="1"/>
    <col min="13323" max="13323" width="17.140625" style="53" customWidth="1"/>
    <col min="13324" max="13395" width="9.140625" style="53"/>
    <col min="13396" max="13396" width="27.28515625" style="53" customWidth="1"/>
    <col min="13397" max="13397" width="9.140625" style="53"/>
    <col min="13398" max="13398" width="11" style="53" customWidth="1"/>
    <col min="13399" max="13401" width="9.140625" style="53"/>
    <col min="13402" max="13402" width="24" style="53" customWidth="1"/>
    <col min="13403" max="13568" width="9.140625" style="53"/>
    <col min="13569" max="13569" width="19.28515625" style="53" customWidth="1"/>
    <col min="13570" max="13570" width="13.28515625" style="53" customWidth="1"/>
    <col min="13571" max="13571" width="11.140625" style="53" customWidth="1"/>
    <col min="13572" max="13572" width="10.42578125" style="53" customWidth="1"/>
    <col min="13573" max="13573" width="11" style="53" customWidth="1"/>
    <col min="13574" max="13574" width="11.140625" style="53" customWidth="1"/>
    <col min="13575" max="13575" width="9.7109375" style="53" customWidth="1"/>
    <col min="13576" max="13576" width="9.85546875" style="53" customWidth="1"/>
    <col min="13577" max="13577" width="11.140625" style="53" customWidth="1"/>
    <col min="13578" max="13578" width="10.140625" style="53" customWidth="1"/>
    <col min="13579" max="13579" width="17.140625" style="53" customWidth="1"/>
    <col min="13580" max="13651" width="9.140625" style="53"/>
    <col min="13652" max="13652" width="27.28515625" style="53" customWidth="1"/>
    <col min="13653" max="13653" width="9.140625" style="53"/>
    <col min="13654" max="13654" width="11" style="53" customWidth="1"/>
    <col min="13655" max="13657" width="9.140625" style="53"/>
    <col min="13658" max="13658" width="24" style="53" customWidth="1"/>
    <col min="13659" max="13824" width="9.140625" style="53"/>
    <col min="13825" max="13825" width="19.28515625" style="53" customWidth="1"/>
    <col min="13826" max="13826" width="13.28515625" style="53" customWidth="1"/>
    <col min="13827" max="13827" width="11.140625" style="53" customWidth="1"/>
    <col min="13828" max="13828" width="10.42578125" style="53" customWidth="1"/>
    <col min="13829" max="13829" width="11" style="53" customWidth="1"/>
    <col min="13830" max="13830" width="11.140625" style="53" customWidth="1"/>
    <col min="13831" max="13831" width="9.7109375" style="53" customWidth="1"/>
    <col min="13832" max="13832" width="9.85546875" style="53" customWidth="1"/>
    <col min="13833" max="13833" width="11.140625" style="53" customWidth="1"/>
    <col min="13834" max="13834" width="10.140625" style="53" customWidth="1"/>
    <col min="13835" max="13835" width="17.140625" style="53" customWidth="1"/>
    <col min="13836" max="13907" width="9.140625" style="53"/>
    <col min="13908" max="13908" width="27.28515625" style="53" customWidth="1"/>
    <col min="13909" max="13909" width="9.140625" style="53"/>
    <col min="13910" max="13910" width="11" style="53" customWidth="1"/>
    <col min="13911" max="13913" width="9.140625" style="53"/>
    <col min="13914" max="13914" width="24" style="53" customWidth="1"/>
    <col min="13915" max="14080" width="9.140625" style="53"/>
    <col min="14081" max="14081" width="19.28515625" style="53" customWidth="1"/>
    <col min="14082" max="14082" width="13.28515625" style="53" customWidth="1"/>
    <col min="14083" max="14083" width="11.140625" style="53" customWidth="1"/>
    <col min="14084" max="14084" width="10.42578125" style="53" customWidth="1"/>
    <col min="14085" max="14085" width="11" style="53" customWidth="1"/>
    <col min="14086" max="14086" width="11.140625" style="53" customWidth="1"/>
    <col min="14087" max="14087" width="9.7109375" style="53" customWidth="1"/>
    <col min="14088" max="14088" width="9.85546875" style="53" customWidth="1"/>
    <col min="14089" max="14089" width="11.140625" style="53" customWidth="1"/>
    <col min="14090" max="14090" width="10.140625" style="53" customWidth="1"/>
    <col min="14091" max="14091" width="17.140625" style="53" customWidth="1"/>
    <col min="14092" max="14163" width="9.140625" style="53"/>
    <col min="14164" max="14164" width="27.28515625" style="53" customWidth="1"/>
    <col min="14165" max="14165" width="9.140625" style="53"/>
    <col min="14166" max="14166" width="11" style="53" customWidth="1"/>
    <col min="14167" max="14169" width="9.140625" style="53"/>
    <col min="14170" max="14170" width="24" style="53" customWidth="1"/>
    <col min="14171" max="14336" width="9.140625" style="53"/>
    <col min="14337" max="14337" width="19.28515625" style="53" customWidth="1"/>
    <col min="14338" max="14338" width="13.28515625" style="53" customWidth="1"/>
    <col min="14339" max="14339" width="11.140625" style="53" customWidth="1"/>
    <col min="14340" max="14340" width="10.42578125" style="53" customWidth="1"/>
    <col min="14341" max="14341" width="11" style="53" customWidth="1"/>
    <col min="14342" max="14342" width="11.140625" style="53" customWidth="1"/>
    <col min="14343" max="14343" width="9.7109375" style="53" customWidth="1"/>
    <col min="14344" max="14344" width="9.85546875" style="53" customWidth="1"/>
    <col min="14345" max="14345" width="11.140625" style="53" customWidth="1"/>
    <col min="14346" max="14346" width="10.140625" style="53" customWidth="1"/>
    <col min="14347" max="14347" width="17.140625" style="53" customWidth="1"/>
    <col min="14348" max="14419" width="9.140625" style="53"/>
    <col min="14420" max="14420" width="27.28515625" style="53" customWidth="1"/>
    <col min="14421" max="14421" width="9.140625" style="53"/>
    <col min="14422" max="14422" width="11" style="53" customWidth="1"/>
    <col min="14423" max="14425" width="9.140625" style="53"/>
    <col min="14426" max="14426" width="24" style="53" customWidth="1"/>
    <col min="14427" max="14592" width="9.140625" style="53"/>
    <col min="14593" max="14593" width="19.28515625" style="53" customWidth="1"/>
    <col min="14594" max="14594" width="13.28515625" style="53" customWidth="1"/>
    <col min="14595" max="14595" width="11.140625" style="53" customWidth="1"/>
    <col min="14596" max="14596" width="10.42578125" style="53" customWidth="1"/>
    <col min="14597" max="14597" width="11" style="53" customWidth="1"/>
    <col min="14598" max="14598" width="11.140625" style="53" customWidth="1"/>
    <col min="14599" max="14599" width="9.7109375" style="53" customWidth="1"/>
    <col min="14600" max="14600" width="9.85546875" style="53" customWidth="1"/>
    <col min="14601" max="14601" width="11.140625" style="53" customWidth="1"/>
    <col min="14602" max="14602" width="10.140625" style="53" customWidth="1"/>
    <col min="14603" max="14603" width="17.140625" style="53" customWidth="1"/>
    <col min="14604" max="14675" width="9.140625" style="53"/>
    <col min="14676" max="14676" width="27.28515625" style="53" customWidth="1"/>
    <col min="14677" max="14677" width="9.140625" style="53"/>
    <col min="14678" max="14678" width="11" style="53" customWidth="1"/>
    <col min="14679" max="14681" width="9.140625" style="53"/>
    <col min="14682" max="14682" width="24" style="53" customWidth="1"/>
    <col min="14683" max="14848" width="9.140625" style="53"/>
    <col min="14849" max="14849" width="19.28515625" style="53" customWidth="1"/>
    <col min="14850" max="14850" width="13.28515625" style="53" customWidth="1"/>
    <col min="14851" max="14851" width="11.140625" style="53" customWidth="1"/>
    <col min="14852" max="14852" width="10.42578125" style="53" customWidth="1"/>
    <col min="14853" max="14853" width="11" style="53" customWidth="1"/>
    <col min="14854" max="14854" width="11.140625" style="53" customWidth="1"/>
    <col min="14855" max="14855" width="9.7109375" style="53" customWidth="1"/>
    <col min="14856" max="14856" width="9.85546875" style="53" customWidth="1"/>
    <col min="14857" max="14857" width="11.140625" style="53" customWidth="1"/>
    <col min="14858" max="14858" width="10.140625" style="53" customWidth="1"/>
    <col min="14859" max="14859" width="17.140625" style="53" customWidth="1"/>
    <col min="14860" max="14931" width="9.140625" style="53"/>
    <col min="14932" max="14932" width="27.28515625" style="53" customWidth="1"/>
    <col min="14933" max="14933" width="9.140625" style="53"/>
    <col min="14934" max="14934" width="11" style="53" customWidth="1"/>
    <col min="14935" max="14937" width="9.140625" style="53"/>
    <col min="14938" max="14938" width="24" style="53" customWidth="1"/>
    <col min="14939" max="15104" width="9.140625" style="53"/>
    <col min="15105" max="15105" width="19.28515625" style="53" customWidth="1"/>
    <col min="15106" max="15106" width="13.28515625" style="53" customWidth="1"/>
    <col min="15107" max="15107" width="11.140625" style="53" customWidth="1"/>
    <col min="15108" max="15108" width="10.42578125" style="53" customWidth="1"/>
    <col min="15109" max="15109" width="11" style="53" customWidth="1"/>
    <col min="15110" max="15110" width="11.140625" style="53" customWidth="1"/>
    <col min="15111" max="15111" width="9.7109375" style="53" customWidth="1"/>
    <col min="15112" max="15112" width="9.85546875" style="53" customWidth="1"/>
    <col min="15113" max="15113" width="11.140625" style="53" customWidth="1"/>
    <col min="15114" max="15114" width="10.140625" style="53" customWidth="1"/>
    <col min="15115" max="15115" width="17.140625" style="53" customWidth="1"/>
    <col min="15116" max="15187" width="9.140625" style="53"/>
    <col min="15188" max="15188" width="27.28515625" style="53" customWidth="1"/>
    <col min="15189" max="15189" width="9.140625" style="53"/>
    <col min="15190" max="15190" width="11" style="53" customWidth="1"/>
    <col min="15191" max="15193" width="9.140625" style="53"/>
    <col min="15194" max="15194" width="24" style="53" customWidth="1"/>
    <col min="15195" max="15360" width="9.140625" style="53"/>
    <col min="15361" max="15361" width="19.28515625" style="53" customWidth="1"/>
    <col min="15362" max="15362" width="13.28515625" style="53" customWidth="1"/>
    <col min="15363" max="15363" width="11.140625" style="53" customWidth="1"/>
    <col min="15364" max="15364" width="10.42578125" style="53" customWidth="1"/>
    <col min="15365" max="15365" width="11" style="53" customWidth="1"/>
    <col min="15366" max="15366" width="11.140625" style="53" customWidth="1"/>
    <col min="15367" max="15367" width="9.7109375" style="53" customWidth="1"/>
    <col min="15368" max="15368" width="9.85546875" style="53" customWidth="1"/>
    <col min="15369" max="15369" width="11.140625" style="53" customWidth="1"/>
    <col min="15370" max="15370" width="10.140625" style="53" customWidth="1"/>
    <col min="15371" max="15371" width="17.140625" style="53" customWidth="1"/>
    <col min="15372" max="15443" width="9.140625" style="53"/>
    <col min="15444" max="15444" width="27.28515625" style="53" customWidth="1"/>
    <col min="15445" max="15445" width="9.140625" style="53"/>
    <col min="15446" max="15446" width="11" style="53" customWidth="1"/>
    <col min="15447" max="15449" width="9.140625" style="53"/>
    <col min="15450" max="15450" width="24" style="53" customWidth="1"/>
    <col min="15451" max="15616" width="9.140625" style="53"/>
    <col min="15617" max="15617" width="19.28515625" style="53" customWidth="1"/>
    <col min="15618" max="15618" width="13.28515625" style="53" customWidth="1"/>
    <col min="15619" max="15619" width="11.140625" style="53" customWidth="1"/>
    <col min="15620" max="15620" width="10.42578125" style="53" customWidth="1"/>
    <col min="15621" max="15621" width="11" style="53" customWidth="1"/>
    <col min="15622" max="15622" width="11.140625" style="53" customWidth="1"/>
    <col min="15623" max="15623" width="9.7109375" style="53" customWidth="1"/>
    <col min="15624" max="15624" width="9.85546875" style="53" customWidth="1"/>
    <col min="15625" max="15625" width="11.140625" style="53" customWidth="1"/>
    <col min="15626" max="15626" width="10.140625" style="53" customWidth="1"/>
    <col min="15627" max="15627" width="17.140625" style="53" customWidth="1"/>
    <col min="15628" max="15699" width="9.140625" style="53"/>
    <col min="15700" max="15700" width="27.28515625" style="53" customWidth="1"/>
    <col min="15701" max="15701" width="9.140625" style="53"/>
    <col min="15702" max="15702" width="11" style="53" customWidth="1"/>
    <col min="15703" max="15705" width="9.140625" style="53"/>
    <col min="15706" max="15706" width="24" style="53" customWidth="1"/>
    <col min="15707" max="15872" width="9.140625" style="53"/>
    <col min="15873" max="15873" width="19.28515625" style="53" customWidth="1"/>
    <col min="15874" max="15874" width="13.28515625" style="53" customWidth="1"/>
    <col min="15875" max="15875" width="11.140625" style="53" customWidth="1"/>
    <col min="15876" max="15876" width="10.42578125" style="53" customWidth="1"/>
    <col min="15877" max="15877" width="11" style="53" customWidth="1"/>
    <col min="15878" max="15878" width="11.140625" style="53" customWidth="1"/>
    <col min="15879" max="15879" width="9.7109375" style="53" customWidth="1"/>
    <col min="15880" max="15880" width="9.85546875" style="53" customWidth="1"/>
    <col min="15881" max="15881" width="11.140625" style="53" customWidth="1"/>
    <col min="15882" max="15882" width="10.140625" style="53" customWidth="1"/>
    <col min="15883" max="15883" width="17.140625" style="53" customWidth="1"/>
    <col min="15884" max="15955" width="9.140625" style="53"/>
    <col min="15956" max="15956" width="27.28515625" style="53" customWidth="1"/>
    <col min="15957" max="15957" width="9.140625" style="53"/>
    <col min="15958" max="15958" width="11" style="53" customWidth="1"/>
    <col min="15959" max="15961" width="9.140625" style="53"/>
    <col min="15962" max="15962" width="24" style="53" customWidth="1"/>
    <col min="15963" max="16128" width="9.140625" style="53"/>
    <col min="16129" max="16129" width="19.28515625" style="53" customWidth="1"/>
    <col min="16130" max="16130" width="13.28515625" style="53" customWidth="1"/>
    <col min="16131" max="16131" width="11.140625" style="53" customWidth="1"/>
    <col min="16132" max="16132" width="10.42578125" style="53" customWidth="1"/>
    <col min="16133" max="16133" width="11" style="53" customWidth="1"/>
    <col min="16134" max="16134" width="11.140625" style="53" customWidth="1"/>
    <col min="16135" max="16135" width="9.7109375" style="53" customWidth="1"/>
    <col min="16136" max="16136" width="9.85546875" style="53" customWidth="1"/>
    <col min="16137" max="16137" width="11.140625" style="53" customWidth="1"/>
    <col min="16138" max="16138" width="10.140625" style="53" customWidth="1"/>
    <col min="16139" max="16139" width="17.140625" style="53" customWidth="1"/>
    <col min="16140" max="16211" width="9.140625" style="53"/>
    <col min="16212" max="16212" width="27.28515625" style="53" customWidth="1"/>
    <col min="16213" max="16213" width="9.140625" style="53"/>
    <col min="16214" max="16214" width="11" style="53" customWidth="1"/>
    <col min="16215" max="16217" width="9.140625" style="53"/>
    <col min="16218" max="16218" width="24" style="53" customWidth="1"/>
    <col min="16219" max="16384" width="9.140625" style="53"/>
  </cols>
  <sheetData>
    <row r="1" spans="1:90" ht="15" customHeight="1">
      <c r="A1" s="430" t="s">
        <v>528</v>
      </c>
      <c r="B1" s="430"/>
      <c r="C1" s="430"/>
      <c r="D1" s="430"/>
      <c r="E1" s="430"/>
      <c r="F1" s="430"/>
      <c r="G1" s="430"/>
      <c r="H1" s="430"/>
      <c r="I1" s="430"/>
      <c r="J1" s="430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</row>
    <row r="2" spans="1:90" ht="15" customHeight="1">
      <c r="A2" s="431" t="s">
        <v>135</v>
      </c>
      <c r="B2" s="433" t="s">
        <v>17</v>
      </c>
      <c r="C2" s="434"/>
      <c r="D2" s="435"/>
      <c r="E2" s="433" t="s">
        <v>18</v>
      </c>
      <c r="F2" s="434"/>
      <c r="G2" s="435"/>
      <c r="H2" s="433" t="s">
        <v>19</v>
      </c>
      <c r="I2" s="434"/>
      <c r="J2" s="435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</row>
    <row r="3" spans="1:90" ht="15" customHeight="1">
      <c r="A3" s="432"/>
      <c r="B3" s="155" t="s">
        <v>84</v>
      </c>
      <c r="C3" s="155" t="s">
        <v>85</v>
      </c>
      <c r="D3" s="155" t="s">
        <v>19</v>
      </c>
      <c r="E3" s="155" t="s">
        <v>84</v>
      </c>
      <c r="F3" s="155" t="s">
        <v>85</v>
      </c>
      <c r="G3" s="155" t="s">
        <v>19</v>
      </c>
      <c r="H3" s="155" t="s">
        <v>84</v>
      </c>
      <c r="I3" s="155" t="s">
        <v>85</v>
      </c>
      <c r="J3" s="155" t="s">
        <v>19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</row>
    <row r="4" spans="1:90" ht="15" customHeight="1">
      <c r="A4" s="156" t="s">
        <v>136</v>
      </c>
      <c r="B4" s="157">
        <v>2</v>
      </c>
      <c r="C4" s="157">
        <v>0</v>
      </c>
      <c r="D4" s="157">
        <f>SUM(B4:C4)</f>
        <v>2</v>
      </c>
      <c r="E4" s="157">
        <v>1</v>
      </c>
      <c r="F4" s="157">
        <v>0</v>
      </c>
      <c r="G4" s="157">
        <f>SUM(E4:F4)</f>
        <v>1</v>
      </c>
      <c r="H4" s="157">
        <f>SUM(B4+E4)</f>
        <v>3</v>
      </c>
      <c r="I4" s="157">
        <f>SUM(C4+F4)</f>
        <v>0</v>
      </c>
      <c r="J4" s="157">
        <f>SUM(H4:I4)</f>
        <v>3</v>
      </c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</row>
    <row r="5" spans="1:90" ht="15" customHeight="1">
      <c r="A5" s="156" t="s">
        <v>137</v>
      </c>
      <c r="B5" s="157">
        <v>1</v>
      </c>
      <c r="C5" s="157">
        <v>1</v>
      </c>
      <c r="D5" s="157">
        <f t="shared" ref="D5:D14" si="0">SUM(B5:C5)</f>
        <v>2</v>
      </c>
      <c r="E5" s="157">
        <v>3</v>
      </c>
      <c r="F5" s="157">
        <v>2</v>
      </c>
      <c r="G5" s="157">
        <f t="shared" ref="G5:G14" si="1">SUM(E5:F5)</f>
        <v>5</v>
      </c>
      <c r="H5" s="157">
        <f>SUM(B5+E5)</f>
        <v>4</v>
      </c>
      <c r="I5" s="157">
        <f t="shared" ref="I5:I14" si="2">SUM(C5+F5)</f>
        <v>3</v>
      </c>
      <c r="J5" s="157">
        <f t="shared" ref="J5:J15" si="3">SUM(H5:I5)</f>
        <v>7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</row>
    <row r="6" spans="1:90" ht="15" customHeight="1">
      <c r="A6" s="156" t="s">
        <v>138</v>
      </c>
      <c r="B6" s="157">
        <v>3</v>
      </c>
      <c r="C6" s="157">
        <v>4</v>
      </c>
      <c r="D6" s="157">
        <f t="shared" si="0"/>
        <v>7</v>
      </c>
      <c r="E6" s="157">
        <v>10</v>
      </c>
      <c r="F6" s="157">
        <v>5</v>
      </c>
      <c r="G6" s="157">
        <f t="shared" si="1"/>
        <v>15</v>
      </c>
      <c r="H6" s="157">
        <f t="shared" ref="H6:H14" si="4">SUM(B6+E6)</f>
        <v>13</v>
      </c>
      <c r="I6" s="157">
        <f t="shared" si="2"/>
        <v>9</v>
      </c>
      <c r="J6" s="157">
        <f t="shared" si="3"/>
        <v>22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</row>
    <row r="7" spans="1:90" ht="15" customHeight="1">
      <c r="A7" s="156" t="s">
        <v>139</v>
      </c>
      <c r="B7" s="157">
        <v>8</v>
      </c>
      <c r="C7" s="157">
        <v>2</v>
      </c>
      <c r="D7" s="157">
        <f t="shared" si="0"/>
        <v>10</v>
      </c>
      <c r="E7" s="157">
        <v>31</v>
      </c>
      <c r="F7" s="157">
        <v>22</v>
      </c>
      <c r="G7" s="157">
        <f t="shared" si="1"/>
        <v>53</v>
      </c>
      <c r="H7" s="157">
        <f t="shared" si="4"/>
        <v>39</v>
      </c>
      <c r="I7" s="157">
        <f t="shared" si="2"/>
        <v>24</v>
      </c>
      <c r="J7" s="157">
        <f t="shared" si="3"/>
        <v>63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</row>
    <row r="8" spans="1:90" ht="15" customHeight="1">
      <c r="A8" s="156" t="s">
        <v>140</v>
      </c>
      <c r="B8" s="157">
        <v>15</v>
      </c>
      <c r="C8" s="157">
        <v>12</v>
      </c>
      <c r="D8" s="157">
        <f t="shared" si="0"/>
        <v>27</v>
      </c>
      <c r="E8" s="157">
        <v>143</v>
      </c>
      <c r="F8" s="157">
        <v>71</v>
      </c>
      <c r="G8" s="157">
        <f t="shared" si="1"/>
        <v>214</v>
      </c>
      <c r="H8" s="157">
        <f t="shared" si="4"/>
        <v>158</v>
      </c>
      <c r="I8" s="157">
        <f t="shared" si="2"/>
        <v>83</v>
      </c>
      <c r="J8" s="157">
        <f t="shared" si="3"/>
        <v>241</v>
      </c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</row>
    <row r="9" spans="1:90" ht="15" customHeight="1">
      <c r="A9" s="156" t="s">
        <v>141</v>
      </c>
      <c r="B9" s="157">
        <v>56</v>
      </c>
      <c r="C9" s="157">
        <v>24</v>
      </c>
      <c r="D9" s="157">
        <f t="shared" si="0"/>
        <v>80</v>
      </c>
      <c r="E9" s="157">
        <v>321</v>
      </c>
      <c r="F9" s="157">
        <v>107</v>
      </c>
      <c r="G9" s="157">
        <f t="shared" si="1"/>
        <v>428</v>
      </c>
      <c r="H9" s="157">
        <f t="shared" si="4"/>
        <v>377</v>
      </c>
      <c r="I9" s="157">
        <f t="shared" si="2"/>
        <v>131</v>
      </c>
      <c r="J9" s="157">
        <f t="shared" si="3"/>
        <v>508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</row>
    <row r="10" spans="1:90" ht="15" customHeight="1">
      <c r="A10" s="156" t="s">
        <v>142</v>
      </c>
      <c r="B10" s="157">
        <v>44</v>
      </c>
      <c r="C10" s="157">
        <v>18</v>
      </c>
      <c r="D10" s="157">
        <f t="shared" si="0"/>
        <v>62</v>
      </c>
      <c r="E10" s="157">
        <v>434</v>
      </c>
      <c r="F10" s="157">
        <v>164</v>
      </c>
      <c r="G10" s="157">
        <f t="shared" si="1"/>
        <v>598</v>
      </c>
      <c r="H10" s="157">
        <f t="shared" si="4"/>
        <v>478</v>
      </c>
      <c r="I10" s="157">
        <f t="shared" si="2"/>
        <v>182</v>
      </c>
      <c r="J10" s="157">
        <f t="shared" si="3"/>
        <v>660</v>
      </c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</row>
    <row r="11" spans="1:90" ht="15" customHeight="1">
      <c r="A11" s="156" t="s">
        <v>143</v>
      </c>
      <c r="B11" s="157">
        <v>46</v>
      </c>
      <c r="C11" s="157">
        <v>26</v>
      </c>
      <c r="D11" s="157">
        <f t="shared" si="0"/>
        <v>72</v>
      </c>
      <c r="E11" s="157">
        <v>475</v>
      </c>
      <c r="F11" s="157">
        <v>144</v>
      </c>
      <c r="G11" s="157">
        <f t="shared" si="1"/>
        <v>619</v>
      </c>
      <c r="H11" s="157">
        <f t="shared" si="4"/>
        <v>521</v>
      </c>
      <c r="I11" s="157">
        <f t="shared" si="2"/>
        <v>170</v>
      </c>
      <c r="J11" s="157">
        <f t="shared" si="3"/>
        <v>691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</row>
    <row r="12" spans="1:90" ht="15" customHeight="1">
      <c r="A12" s="156" t="s">
        <v>61</v>
      </c>
      <c r="B12" s="157">
        <v>31</v>
      </c>
      <c r="C12" s="157">
        <v>15</v>
      </c>
      <c r="D12" s="157">
        <f t="shared" si="0"/>
        <v>46</v>
      </c>
      <c r="E12" s="157">
        <v>160</v>
      </c>
      <c r="F12" s="157">
        <v>71</v>
      </c>
      <c r="G12" s="157">
        <f t="shared" si="1"/>
        <v>231</v>
      </c>
      <c r="H12" s="157">
        <f t="shared" si="4"/>
        <v>191</v>
      </c>
      <c r="I12" s="157">
        <f t="shared" si="2"/>
        <v>86</v>
      </c>
      <c r="J12" s="157">
        <f t="shared" si="3"/>
        <v>277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</row>
    <row r="13" spans="1:90" ht="15" customHeight="1">
      <c r="A13" s="156" t="s">
        <v>144</v>
      </c>
      <c r="B13" s="157">
        <v>130</v>
      </c>
      <c r="C13" s="157">
        <v>69</v>
      </c>
      <c r="D13" s="157">
        <f t="shared" si="0"/>
        <v>199</v>
      </c>
      <c r="E13" s="157">
        <v>483</v>
      </c>
      <c r="F13" s="157">
        <v>172</v>
      </c>
      <c r="G13" s="157">
        <f t="shared" si="1"/>
        <v>655</v>
      </c>
      <c r="H13" s="157">
        <f t="shared" si="4"/>
        <v>613</v>
      </c>
      <c r="I13" s="157">
        <f t="shared" si="2"/>
        <v>241</v>
      </c>
      <c r="J13" s="157">
        <f t="shared" si="3"/>
        <v>854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</row>
    <row r="14" spans="1:90" ht="15" customHeight="1">
      <c r="A14" s="156" t="s">
        <v>65</v>
      </c>
      <c r="B14" s="157">
        <v>84</v>
      </c>
      <c r="C14" s="157">
        <v>33</v>
      </c>
      <c r="D14" s="157">
        <f t="shared" si="0"/>
        <v>117</v>
      </c>
      <c r="E14" s="157">
        <v>217</v>
      </c>
      <c r="F14" s="157">
        <v>120</v>
      </c>
      <c r="G14" s="157">
        <f t="shared" si="1"/>
        <v>337</v>
      </c>
      <c r="H14" s="157">
        <f t="shared" si="4"/>
        <v>301</v>
      </c>
      <c r="I14" s="157">
        <f t="shared" si="2"/>
        <v>153</v>
      </c>
      <c r="J14" s="157">
        <f t="shared" si="3"/>
        <v>454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</row>
    <row r="15" spans="1:90" ht="15" customHeight="1">
      <c r="A15" s="155" t="s">
        <v>145</v>
      </c>
      <c r="B15" s="158">
        <f>SUM(B4:B14)</f>
        <v>420</v>
      </c>
      <c r="C15" s="158">
        <f>SUM(C4:C14)</f>
        <v>204</v>
      </c>
      <c r="D15" s="157">
        <f>SUM(B15:C15)</f>
        <v>624</v>
      </c>
      <c r="E15" s="159">
        <f>SUM(E4:E14)</f>
        <v>2278</v>
      </c>
      <c r="F15" s="159">
        <f>SUM(F4:F14)</f>
        <v>878</v>
      </c>
      <c r="G15" s="159">
        <f>SUM(E15:F15)</f>
        <v>3156</v>
      </c>
      <c r="H15" s="159">
        <f>SUM(H4:H14)</f>
        <v>2698</v>
      </c>
      <c r="I15" s="159">
        <f>SUM(I4:I14)</f>
        <v>1082</v>
      </c>
      <c r="J15" s="159">
        <f t="shared" si="3"/>
        <v>3780</v>
      </c>
      <c r="K15" s="56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</row>
    <row r="16" spans="1:90" ht="15" customHeight="1">
      <c r="A16" s="160" t="s">
        <v>179</v>
      </c>
      <c r="B16" s="161"/>
      <c r="C16" s="161"/>
      <c r="D16" s="161"/>
      <c r="E16" s="161"/>
      <c r="F16" s="161"/>
      <c r="G16" s="161"/>
      <c r="H16" s="161"/>
      <c r="I16" s="161"/>
      <c r="J16" s="161"/>
    </row>
    <row r="17" spans="1:10" ht="16.5">
      <c r="A17" s="162"/>
      <c r="B17" s="162"/>
      <c r="C17" s="162"/>
      <c r="D17" s="162"/>
      <c r="E17" s="162"/>
      <c r="F17" s="162"/>
      <c r="G17" s="162"/>
      <c r="H17" s="162"/>
      <c r="I17" s="162"/>
      <c r="J17" s="162"/>
    </row>
    <row r="18" spans="1:10" ht="15">
      <c r="A18" s="430" t="s">
        <v>529</v>
      </c>
      <c r="B18" s="430"/>
      <c r="C18" s="430"/>
      <c r="D18" s="430"/>
      <c r="E18" s="430"/>
      <c r="F18" s="430"/>
      <c r="G18" s="430"/>
      <c r="H18" s="430"/>
      <c r="I18" s="430"/>
      <c r="J18" s="430"/>
    </row>
    <row r="19" spans="1:10" ht="15">
      <c r="A19" s="431" t="s">
        <v>135</v>
      </c>
      <c r="B19" s="433" t="s">
        <v>17</v>
      </c>
      <c r="C19" s="434"/>
      <c r="D19" s="435"/>
      <c r="E19" s="433" t="s">
        <v>18</v>
      </c>
      <c r="F19" s="434"/>
      <c r="G19" s="435"/>
      <c r="H19" s="433" t="s">
        <v>19</v>
      </c>
      <c r="I19" s="434"/>
      <c r="J19" s="435"/>
    </row>
    <row r="20" spans="1:10" ht="15">
      <c r="A20" s="432"/>
      <c r="B20" s="155" t="s">
        <v>84</v>
      </c>
      <c r="C20" s="155" t="s">
        <v>85</v>
      </c>
      <c r="D20" s="155" t="s">
        <v>19</v>
      </c>
      <c r="E20" s="155" t="s">
        <v>84</v>
      </c>
      <c r="F20" s="155" t="s">
        <v>85</v>
      </c>
      <c r="G20" s="155" t="s">
        <v>19</v>
      </c>
      <c r="H20" s="155" t="s">
        <v>84</v>
      </c>
      <c r="I20" s="155" t="s">
        <v>85</v>
      </c>
      <c r="J20" s="155" t="s">
        <v>19</v>
      </c>
    </row>
    <row r="21" spans="1:10" ht="15">
      <c r="A21" s="156" t="s">
        <v>136</v>
      </c>
      <c r="B21" s="157">
        <v>1</v>
      </c>
      <c r="C21" s="157">
        <v>0</v>
      </c>
      <c r="D21" s="157">
        <v>1</v>
      </c>
      <c r="E21" s="157">
        <v>6</v>
      </c>
      <c r="F21" s="157">
        <v>5</v>
      </c>
      <c r="G21" s="157">
        <f t="shared" ref="G21:G32" si="5">SUM(E21:F21)</f>
        <v>11</v>
      </c>
      <c r="H21" s="157">
        <v>7</v>
      </c>
      <c r="I21" s="157">
        <v>5</v>
      </c>
      <c r="J21" s="157">
        <f t="shared" ref="J21:J32" si="6">SUM(H21:I21)</f>
        <v>12</v>
      </c>
    </row>
    <row r="22" spans="1:10" ht="15">
      <c r="A22" s="156" t="s">
        <v>137</v>
      </c>
      <c r="B22" s="157">
        <v>0</v>
      </c>
      <c r="C22" s="157">
        <v>0</v>
      </c>
      <c r="D22" s="157">
        <v>0</v>
      </c>
      <c r="E22" s="157">
        <v>0</v>
      </c>
      <c r="F22" s="157">
        <v>4</v>
      </c>
      <c r="G22" s="157">
        <f t="shared" si="5"/>
        <v>4</v>
      </c>
      <c r="H22" s="157">
        <v>0</v>
      </c>
      <c r="I22" s="157">
        <v>4</v>
      </c>
      <c r="J22" s="157">
        <f t="shared" si="6"/>
        <v>4</v>
      </c>
    </row>
    <row r="23" spans="1:10" ht="15">
      <c r="A23" s="156" t="s">
        <v>138</v>
      </c>
      <c r="B23" s="157">
        <v>1</v>
      </c>
      <c r="C23" s="157">
        <v>2</v>
      </c>
      <c r="D23" s="157">
        <v>3</v>
      </c>
      <c r="E23" s="157">
        <v>8</v>
      </c>
      <c r="F23" s="157">
        <v>5</v>
      </c>
      <c r="G23" s="157">
        <f t="shared" si="5"/>
        <v>13</v>
      </c>
      <c r="H23" s="157">
        <v>9</v>
      </c>
      <c r="I23" s="157">
        <v>7</v>
      </c>
      <c r="J23" s="157">
        <f t="shared" si="6"/>
        <v>16</v>
      </c>
    </row>
    <row r="24" spans="1:10" ht="15">
      <c r="A24" s="156" t="s">
        <v>139</v>
      </c>
      <c r="B24" s="157">
        <v>12</v>
      </c>
      <c r="C24" s="157">
        <v>6</v>
      </c>
      <c r="D24" s="157">
        <v>18</v>
      </c>
      <c r="E24" s="157">
        <v>37</v>
      </c>
      <c r="F24" s="157">
        <v>19</v>
      </c>
      <c r="G24" s="157">
        <f t="shared" si="5"/>
        <v>56</v>
      </c>
      <c r="H24" s="157">
        <v>49</v>
      </c>
      <c r="I24" s="157">
        <v>25</v>
      </c>
      <c r="J24" s="157">
        <f t="shared" si="6"/>
        <v>74</v>
      </c>
    </row>
    <row r="25" spans="1:10" ht="15">
      <c r="A25" s="156" t="s">
        <v>140</v>
      </c>
      <c r="B25" s="157">
        <v>40</v>
      </c>
      <c r="C25" s="157">
        <v>14</v>
      </c>
      <c r="D25" s="157">
        <v>54</v>
      </c>
      <c r="E25" s="157">
        <v>150</v>
      </c>
      <c r="F25" s="157">
        <v>53</v>
      </c>
      <c r="G25" s="157">
        <f t="shared" si="5"/>
        <v>203</v>
      </c>
      <c r="H25" s="157">
        <v>190</v>
      </c>
      <c r="I25" s="157">
        <v>67</v>
      </c>
      <c r="J25" s="157">
        <f t="shared" si="6"/>
        <v>257</v>
      </c>
    </row>
    <row r="26" spans="1:10" ht="15">
      <c r="A26" s="156" t="s">
        <v>141</v>
      </c>
      <c r="B26" s="157">
        <v>64</v>
      </c>
      <c r="C26" s="157">
        <v>33</v>
      </c>
      <c r="D26" s="157">
        <v>97</v>
      </c>
      <c r="E26" s="157">
        <v>343</v>
      </c>
      <c r="F26" s="157">
        <v>104</v>
      </c>
      <c r="G26" s="157">
        <f t="shared" si="5"/>
        <v>447</v>
      </c>
      <c r="H26" s="157">
        <v>407</v>
      </c>
      <c r="I26" s="157">
        <v>137</v>
      </c>
      <c r="J26" s="157">
        <f t="shared" si="6"/>
        <v>544</v>
      </c>
    </row>
    <row r="27" spans="1:10" ht="15">
      <c r="A27" s="156" t="s">
        <v>142</v>
      </c>
      <c r="B27" s="157">
        <v>110</v>
      </c>
      <c r="C27" s="157">
        <v>31</v>
      </c>
      <c r="D27" s="157">
        <v>141</v>
      </c>
      <c r="E27" s="157">
        <v>429</v>
      </c>
      <c r="F27" s="157">
        <v>173</v>
      </c>
      <c r="G27" s="157">
        <f t="shared" si="5"/>
        <v>602</v>
      </c>
      <c r="H27" s="157">
        <v>539</v>
      </c>
      <c r="I27" s="157">
        <v>204</v>
      </c>
      <c r="J27" s="157">
        <f t="shared" si="6"/>
        <v>743</v>
      </c>
    </row>
    <row r="28" spans="1:10" ht="15">
      <c r="A28" s="156" t="s">
        <v>143</v>
      </c>
      <c r="B28" s="157">
        <v>73</v>
      </c>
      <c r="C28" s="157">
        <v>24</v>
      </c>
      <c r="D28" s="157">
        <v>97</v>
      </c>
      <c r="E28" s="157">
        <v>414</v>
      </c>
      <c r="F28" s="157">
        <v>142</v>
      </c>
      <c r="G28" s="157">
        <f t="shared" si="5"/>
        <v>556</v>
      </c>
      <c r="H28" s="157">
        <v>487</v>
      </c>
      <c r="I28" s="157">
        <v>166</v>
      </c>
      <c r="J28" s="157">
        <f t="shared" si="6"/>
        <v>653</v>
      </c>
    </row>
    <row r="29" spans="1:10" ht="15">
      <c r="A29" s="156" t="s">
        <v>61</v>
      </c>
      <c r="B29" s="157">
        <v>26</v>
      </c>
      <c r="C29" s="157">
        <v>15</v>
      </c>
      <c r="D29" s="157">
        <v>41</v>
      </c>
      <c r="E29" s="157">
        <v>161</v>
      </c>
      <c r="F29" s="157">
        <v>78</v>
      </c>
      <c r="G29" s="157">
        <f t="shared" si="5"/>
        <v>239</v>
      </c>
      <c r="H29" s="157">
        <v>187</v>
      </c>
      <c r="I29" s="157">
        <v>93</v>
      </c>
      <c r="J29" s="157">
        <f t="shared" si="6"/>
        <v>280</v>
      </c>
    </row>
    <row r="30" spans="1:10" ht="15">
      <c r="A30" s="156" t="s">
        <v>144</v>
      </c>
      <c r="B30" s="157">
        <v>138</v>
      </c>
      <c r="C30" s="157">
        <v>76</v>
      </c>
      <c r="D30" s="157">
        <v>214</v>
      </c>
      <c r="E30" s="157">
        <v>532</v>
      </c>
      <c r="F30" s="157">
        <v>217</v>
      </c>
      <c r="G30" s="157">
        <f t="shared" si="5"/>
        <v>749</v>
      </c>
      <c r="H30" s="157">
        <v>670</v>
      </c>
      <c r="I30" s="157">
        <v>293</v>
      </c>
      <c r="J30" s="157">
        <f t="shared" si="6"/>
        <v>963</v>
      </c>
    </row>
    <row r="31" spans="1:10" ht="15">
      <c r="A31" s="156" t="s">
        <v>65</v>
      </c>
      <c r="B31" s="157">
        <v>85</v>
      </c>
      <c r="C31" s="157">
        <v>49</v>
      </c>
      <c r="D31" s="157">
        <v>134</v>
      </c>
      <c r="E31" s="157">
        <v>111</v>
      </c>
      <c r="F31" s="157">
        <v>29</v>
      </c>
      <c r="G31" s="157">
        <f t="shared" si="5"/>
        <v>140</v>
      </c>
      <c r="H31" s="157">
        <v>196</v>
      </c>
      <c r="I31" s="157">
        <v>78</v>
      </c>
      <c r="J31" s="157">
        <f t="shared" si="6"/>
        <v>274</v>
      </c>
    </row>
    <row r="32" spans="1:10" ht="15">
      <c r="A32" s="155" t="s">
        <v>145</v>
      </c>
      <c r="B32" s="158">
        <f>SUM(B21:B31)</f>
        <v>550</v>
      </c>
      <c r="C32" s="158">
        <f>SUM(C21:C31)</f>
        <v>250</v>
      </c>
      <c r="D32" s="157">
        <f>SUM(D21:D31)</f>
        <v>800</v>
      </c>
      <c r="E32" s="159">
        <f>SUM(E21:E31)</f>
        <v>2191</v>
      </c>
      <c r="F32" s="159">
        <f>SUM(F21:F31)</f>
        <v>829</v>
      </c>
      <c r="G32" s="159">
        <f t="shared" si="5"/>
        <v>3020</v>
      </c>
      <c r="H32" s="159">
        <f>SUM(H21:H31)</f>
        <v>2741</v>
      </c>
      <c r="I32" s="159">
        <f>SUM(I21:I31)</f>
        <v>1079</v>
      </c>
      <c r="J32" s="159">
        <f t="shared" si="6"/>
        <v>3820</v>
      </c>
    </row>
    <row r="33" spans="1:10" ht="15">
      <c r="A33" s="160" t="s">
        <v>179</v>
      </c>
      <c r="B33" s="161"/>
      <c r="C33" s="161"/>
      <c r="D33" s="161"/>
      <c r="E33" s="161"/>
      <c r="F33" s="161"/>
      <c r="G33" s="161"/>
      <c r="H33" s="161"/>
      <c r="I33" s="161"/>
      <c r="J33" s="161"/>
    </row>
    <row r="34" spans="1:10" ht="16.5">
      <c r="A34" s="162"/>
      <c r="B34" s="162"/>
      <c r="C34" s="162"/>
      <c r="D34" s="162"/>
      <c r="E34" s="162"/>
      <c r="F34" s="162"/>
      <c r="G34" s="162"/>
      <c r="H34" s="162"/>
      <c r="I34" s="162"/>
      <c r="J34" s="162"/>
    </row>
    <row r="35" spans="1:10" ht="18" customHeight="1">
      <c r="A35" s="430" t="s">
        <v>530</v>
      </c>
      <c r="B35" s="430"/>
      <c r="C35" s="430"/>
      <c r="D35" s="430"/>
      <c r="E35" s="430"/>
      <c r="F35" s="430"/>
      <c r="G35" s="430"/>
      <c r="H35" s="430"/>
      <c r="I35" s="430"/>
      <c r="J35" s="430"/>
    </row>
    <row r="36" spans="1:10" ht="15">
      <c r="A36" s="437" t="s">
        <v>135</v>
      </c>
      <c r="B36" s="439" t="s">
        <v>17</v>
      </c>
      <c r="C36" s="440"/>
      <c r="D36" s="441"/>
      <c r="E36" s="439" t="s">
        <v>18</v>
      </c>
      <c r="F36" s="440"/>
      <c r="G36" s="441"/>
      <c r="H36" s="439" t="s">
        <v>19</v>
      </c>
      <c r="I36" s="440"/>
      <c r="J36" s="441"/>
    </row>
    <row r="37" spans="1:10" ht="15">
      <c r="A37" s="438"/>
      <c r="B37" s="163" t="s">
        <v>84</v>
      </c>
      <c r="C37" s="163" t="s">
        <v>85</v>
      </c>
      <c r="D37" s="163" t="s">
        <v>19</v>
      </c>
      <c r="E37" s="163" t="s">
        <v>84</v>
      </c>
      <c r="F37" s="163" t="s">
        <v>85</v>
      </c>
      <c r="G37" s="163" t="s">
        <v>19</v>
      </c>
      <c r="H37" s="163" t="s">
        <v>84</v>
      </c>
      <c r="I37" s="163" t="s">
        <v>85</v>
      </c>
      <c r="J37" s="163" t="s">
        <v>19</v>
      </c>
    </row>
    <row r="38" spans="1:10" ht="15">
      <c r="A38" s="164" t="s">
        <v>136</v>
      </c>
      <c r="B38" s="165">
        <v>3</v>
      </c>
      <c r="C38" s="165">
        <v>1</v>
      </c>
      <c r="D38" s="165">
        <f>SUM(B38:C38)</f>
        <v>4</v>
      </c>
      <c r="E38" s="165">
        <v>0</v>
      </c>
      <c r="F38" s="165">
        <v>2</v>
      </c>
      <c r="G38" s="165">
        <f t="shared" ref="G38:G49" si="7">SUM(E38:F38)</f>
        <v>2</v>
      </c>
      <c r="H38" s="165">
        <f>B38+E38</f>
        <v>3</v>
      </c>
      <c r="I38" s="165">
        <f t="shared" ref="I38:J49" si="8">C38+F38</f>
        <v>3</v>
      </c>
      <c r="J38" s="165">
        <f>D38+G38</f>
        <v>6</v>
      </c>
    </row>
    <row r="39" spans="1:10" ht="15">
      <c r="A39" s="164" t="s">
        <v>137</v>
      </c>
      <c r="B39" s="165">
        <v>3</v>
      </c>
      <c r="C39" s="165">
        <v>0</v>
      </c>
      <c r="D39" s="165">
        <f t="shared" ref="D39:D49" si="9">SUM(B39:C39)</f>
        <v>3</v>
      </c>
      <c r="E39" s="165">
        <v>2</v>
      </c>
      <c r="F39" s="165">
        <v>1</v>
      </c>
      <c r="G39" s="165">
        <f t="shared" si="7"/>
        <v>3</v>
      </c>
      <c r="H39" s="165">
        <f t="shared" ref="H39:H49" si="10">B39+E39</f>
        <v>5</v>
      </c>
      <c r="I39" s="165">
        <f t="shared" si="8"/>
        <v>1</v>
      </c>
      <c r="J39" s="165">
        <f t="shared" si="8"/>
        <v>6</v>
      </c>
    </row>
    <row r="40" spans="1:10" ht="15">
      <c r="A40" s="164" t="s">
        <v>138</v>
      </c>
      <c r="B40" s="165">
        <v>4</v>
      </c>
      <c r="C40" s="165">
        <v>1</v>
      </c>
      <c r="D40" s="165">
        <f t="shared" si="9"/>
        <v>5</v>
      </c>
      <c r="E40" s="165">
        <v>12</v>
      </c>
      <c r="F40" s="165">
        <v>8</v>
      </c>
      <c r="G40" s="165">
        <f t="shared" si="7"/>
        <v>20</v>
      </c>
      <c r="H40" s="165">
        <f t="shared" si="10"/>
        <v>16</v>
      </c>
      <c r="I40" s="165">
        <f t="shared" si="8"/>
        <v>9</v>
      </c>
      <c r="J40" s="165">
        <f t="shared" si="8"/>
        <v>25</v>
      </c>
    </row>
    <row r="41" spans="1:10" ht="15">
      <c r="A41" s="164" t="s">
        <v>139</v>
      </c>
      <c r="B41" s="165">
        <v>6</v>
      </c>
      <c r="C41" s="165">
        <v>7</v>
      </c>
      <c r="D41" s="165">
        <f t="shared" si="9"/>
        <v>13</v>
      </c>
      <c r="E41" s="165">
        <v>32</v>
      </c>
      <c r="F41" s="165">
        <v>18</v>
      </c>
      <c r="G41" s="165">
        <f t="shared" si="7"/>
        <v>50</v>
      </c>
      <c r="H41" s="165">
        <f t="shared" si="10"/>
        <v>38</v>
      </c>
      <c r="I41" s="165">
        <f t="shared" si="8"/>
        <v>25</v>
      </c>
      <c r="J41" s="165">
        <f t="shared" si="8"/>
        <v>63</v>
      </c>
    </row>
    <row r="42" spans="1:10" ht="15">
      <c r="A42" s="164" t="s">
        <v>140</v>
      </c>
      <c r="B42" s="165">
        <v>33</v>
      </c>
      <c r="C42" s="165">
        <v>13</v>
      </c>
      <c r="D42" s="165">
        <f t="shared" si="9"/>
        <v>46</v>
      </c>
      <c r="E42" s="165">
        <v>158</v>
      </c>
      <c r="F42" s="165">
        <v>64</v>
      </c>
      <c r="G42" s="165">
        <f t="shared" si="7"/>
        <v>222</v>
      </c>
      <c r="H42" s="165">
        <f t="shared" si="10"/>
        <v>191</v>
      </c>
      <c r="I42" s="165">
        <f t="shared" si="8"/>
        <v>77</v>
      </c>
      <c r="J42" s="165">
        <f t="shared" si="8"/>
        <v>268</v>
      </c>
    </row>
    <row r="43" spans="1:10" ht="15">
      <c r="A43" s="164" t="s">
        <v>141</v>
      </c>
      <c r="B43" s="165">
        <v>75</v>
      </c>
      <c r="C43" s="165">
        <v>27</v>
      </c>
      <c r="D43" s="165">
        <f t="shared" si="9"/>
        <v>102</v>
      </c>
      <c r="E43" s="165">
        <v>373</v>
      </c>
      <c r="F43" s="165">
        <v>138</v>
      </c>
      <c r="G43" s="165">
        <f t="shared" si="7"/>
        <v>511</v>
      </c>
      <c r="H43" s="165">
        <f t="shared" si="10"/>
        <v>448</v>
      </c>
      <c r="I43" s="165">
        <f t="shared" si="8"/>
        <v>165</v>
      </c>
      <c r="J43" s="165">
        <f t="shared" si="8"/>
        <v>613</v>
      </c>
    </row>
    <row r="44" spans="1:10" ht="15">
      <c r="A44" s="164" t="s">
        <v>142</v>
      </c>
      <c r="B44" s="165">
        <v>62</v>
      </c>
      <c r="C44" s="165">
        <v>34</v>
      </c>
      <c r="D44" s="165">
        <f t="shared" si="9"/>
        <v>96</v>
      </c>
      <c r="E44" s="165">
        <v>401</v>
      </c>
      <c r="F44" s="165">
        <v>161</v>
      </c>
      <c r="G44" s="165">
        <f t="shared" si="7"/>
        <v>562</v>
      </c>
      <c r="H44" s="165">
        <f t="shared" si="10"/>
        <v>463</v>
      </c>
      <c r="I44" s="165">
        <f t="shared" si="8"/>
        <v>195</v>
      </c>
      <c r="J44" s="165">
        <f t="shared" si="8"/>
        <v>658</v>
      </c>
    </row>
    <row r="45" spans="1:10" ht="15">
      <c r="A45" s="164" t="s">
        <v>143</v>
      </c>
      <c r="B45" s="165">
        <v>77</v>
      </c>
      <c r="C45" s="165">
        <v>44</v>
      </c>
      <c r="D45" s="165">
        <f t="shared" si="9"/>
        <v>121</v>
      </c>
      <c r="E45" s="165">
        <v>448</v>
      </c>
      <c r="F45" s="165">
        <v>149</v>
      </c>
      <c r="G45" s="165">
        <f t="shared" si="7"/>
        <v>597</v>
      </c>
      <c r="H45" s="165">
        <f t="shared" si="10"/>
        <v>525</v>
      </c>
      <c r="I45" s="165">
        <f t="shared" si="8"/>
        <v>193</v>
      </c>
      <c r="J45" s="165">
        <f t="shared" si="8"/>
        <v>718</v>
      </c>
    </row>
    <row r="46" spans="1:10" ht="15">
      <c r="A46" s="164" t="s">
        <v>61</v>
      </c>
      <c r="B46" s="165">
        <v>56</v>
      </c>
      <c r="C46" s="165">
        <v>28</v>
      </c>
      <c r="D46" s="165">
        <f t="shared" si="9"/>
        <v>84</v>
      </c>
      <c r="E46" s="165">
        <v>166</v>
      </c>
      <c r="F46" s="165">
        <v>91</v>
      </c>
      <c r="G46" s="165">
        <f t="shared" si="7"/>
        <v>257</v>
      </c>
      <c r="H46" s="165">
        <f t="shared" si="10"/>
        <v>222</v>
      </c>
      <c r="I46" s="165">
        <f t="shared" si="8"/>
        <v>119</v>
      </c>
      <c r="J46" s="165">
        <f t="shared" si="8"/>
        <v>341</v>
      </c>
    </row>
    <row r="47" spans="1:10" ht="15">
      <c r="A47" s="164" t="s">
        <v>144</v>
      </c>
      <c r="B47" s="165">
        <v>202</v>
      </c>
      <c r="C47" s="165">
        <v>120</v>
      </c>
      <c r="D47" s="165">
        <f>SUM(B47:C47)</f>
        <v>322</v>
      </c>
      <c r="E47" s="165">
        <v>452</v>
      </c>
      <c r="F47" s="165">
        <v>244</v>
      </c>
      <c r="G47" s="165">
        <f t="shared" si="7"/>
        <v>696</v>
      </c>
      <c r="H47" s="165">
        <f t="shared" si="10"/>
        <v>654</v>
      </c>
      <c r="I47" s="165">
        <f t="shared" si="8"/>
        <v>364</v>
      </c>
      <c r="J47" s="165">
        <f t="shared" si="8"/>
        <v>1018</v>
      </c>
    </row>
    <row r="48" spans="1:10" ht="15">
      <c r="A48" s="164" t="s">
        <v>65</v>
      </c>
      <c r="B48" s="165">
        <v>76</v>
      </c>
      <c r="C48" s="165">
        <v>26</v>
      </c>
      <c r="D48" s="165">
        <f t="shared" si="9"/>
        <v>102</v>
      </c>
      <c r="E48" s="165">
        <v>86</v>
      </c>
      <c r="F48" s="165">
        <v>30</v>
      </c>
      <c r="G48" s="165">
        <f t="shared" si="7"/>
        <v>116</v>
      </c>
      <c r="H48" s="165">
        <f t="shared" si="10"/>
        <v>162</v>
      </c>
      <c r="I48" s="165">
        <f t="shared" si="8"/>
        <v>56</v>
      </c>
      <c r="J48" s="165">
        <f t="shared" si="8"/>
        <v>218</v>
      </c>
    </row>
    <row r="49" spans="1:10" ht="15">
      <c r="A49" s="164" t="s">
        <v>145</v>
      </c>
      <c r="B49" s="166">
        <f>SUM(B38:B48)</f>
        <v>597</v>
      </c>
      <c r="C49" s="166">
        <f>SUM(C38:C48)</f>
        <v>301</v>
      </c>
      <c r="D49" s="167">
        <f t="shared" si="9"/>
        <v>898</v>
      </c>
      <c r="E49" s="166">
        <f>SUM(E38:E48)</f>
        <v>2130</v>
      </c>
      <c r="F49" s="166">
        <f>SUM(F38:F48)</f>
        <v>906</v>
      </c>
      <c r="G49" s="167">
        <f t="shared" si="7"/>
        <v>3036</v>
      </c>
      <c r="H49" s="167">
        <f t="shared" si="10"/>
        <v>2727</v>
      </c>
      <c r="I49" s="167">
        <f t="shared" si="8"/>
        <v>1207</v>
      </c>
      <c r="J49" s="163">
        <f>SUM(H49:I49)</f>
        <v>3934</v>
      </c>
    </row>
    <row r="50" spans="1:10" ht="15">
      <c r="A50" s="168"/>
      <c r="B50" s="168"/>
      <c r="C50" s="168"/>
      <c r="D50" s="168"/>
      <c r="E50" s="168"/>
      <c r="F50" s="168"/>
      <c r="G50" s="168"/>
      <c r="H50" s="168"/>
      <c r="I50" s="168"/>
      <c r="J50" s="168"/>
    </row>
    <row r="51" spans="1:10" ht="15">
      <c r="A51" s="436" t="s">
        <v>179</v>
      </c>
      <c r="B51" s="436"/>
      <c r="C51" s="436"/>
      <c r="D51" s="436"/>
      <c r="E51" s="168"/>
      <c r="F51" s="168"/>
      <c r="G51" s="168"/>
      <c r="H51" s="168"/>
      <c r="I51" s="168"/>
      <c r="J51" s="168"/>
    </row>
    <row r="52" spans="1:10" ht="16.5">
      <c r="A52" s="162"/>
      <c r="B52" s="162"/>
      <c r="C52" s="162"/>
      <c r="D52" s="162"/>
      <c r="E52" s="162"/>
      <c r="F52" s="162"/>
      <c r="G52" s="162"/>
      <c r="H52" s="162"/>
      <c r="I52" s="162"/>
      <c r="J52" s="162"/>
    </row>
    <row r="53" spans="1:10" ht="16.5">
      <c r="A53" s="162"/>
      <c r="B53" s="162"/>
      <c r="C53" s="162"/>
      <c r="D53" s="162"/>
      <c r="E53" s="162"/>
      <c r="F53" s="162"/>
      <c r="G53" s="162"/>
      <c r="H53" s="162"/>
      <c r="I53" s="162"/>
      <c r="J53" s="162"/>
    </row>
  </sheetData>
  <sheetProtection selectLockedCells="1" selectUnlockedCells="1"/>
  <mergeCells count="16">
    <mergeCell ref="A51:D51"/>
    <mergeCell ref="A35:J35"/>
    <mergeCell ref="A36:A37"/>
    <mergeCell ref="B36:D36"/>
    <mergeCell ref="E36:G36"/>
    <mergeCell ref="H36:J36"/>
    <mergeCell ref="A1:J1"/>
    <mergeCell ref="A2:A3"/>
    <mergeCell ref="B2:D2"/>
    <mergeCell ref="E2:G2"/>
    <mergeCell ref="H2:J2"/>
    <mergeCell ref="A18:J18"/>
    <mergeCell ref="A19:A20"/>
    <mergeCell ref="B19:D19"/>
    <mergeCell ref="E19:G19"/>
    <mergeCell ref="H19:J19"/>
  </mergeCells>
  <pageMargins left="0.94" right="0.74803149606299202" top="0.98425196850393704" bottom="0.59055118110236204" header="0.511811023622047" footer="0.35433070866141703"/>
  <pageSetup paperSize="9" firstPageNumber="9" orientation="landscape" useFirstPageNumber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8"/>
  <dimension ref="A1:K53"/>
  <sheetViews>
    <sheetView zoomScale="96" zoomScaleNormal="96" workbookViewId="0">
      <selection activeCell="D56" sqref="D56"/>
    </sheetView>
  </sheetViews>
  <sheetFormatPr defaultColWidth="9.140625" defaultRowHeight="15.75"/>
  <cols>
    <col min="1" max="1" width="18" style="110" customWidth="1"/>
    <col min="2" max="2" width="10.7109375" style="110" bestFit="1" customWidth="1"/>
    <col min="3" max="3" width="9.5703125" style="110" bestFit="1" customWidth="1"/>
    <col min="4" max="6" width="10.7109375" style="110" bestFit="1" customWidth="1"/>
    <col min="7" max="10" width="9.5703125" style="110" bestFit="1" customWidth="1"/>
    <col min="11" max="16384" width="9.140625" style="110"/>
  </cols>
  <sheetData>
    <row r="1" spans="1:11" ht="15.75" customHeight="1">
      <c r="A1" s="442" t="s">
        <v>531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</row>
    <row r="2" spans="1:11" ht="15.75" customHeight="1">
      <c r="A2" s="443" t="s">
        <v>146</v>
      </c>
      <c r="B2" s="445" t="s">
        <v>186</v>
      </c>
      <c r="C2" s="446"/>
      <c r="D2" s="446"/>
      <c r="E2" s="446"/>
      <c r="F2" s="446"/>
      <c r="G2" s="446"/>
      <c r="H2" s="446"/>
      <c r="I2" s="446"/>
      <c r="J2" s="446"/>
      <c r="K2" s="447"/>
    </row>
    <row r="3" spans="1:11" ht="31.5">
      <c r="A3" s="444"/>
      <c r="B3" s="305" t="s">
        <v>184</v>
      </c>
      <c r="C3" s="305" t="s">
        <v>51</v>
      </c>
      <c r="D3" s="305" t="s">
        <v>52</v>
      </c>
      <c r="E3" s="305" t="s">
        <v>53</v>
      </c>
      <c r="F3" s="305" t="s">
        <v>54</v>
      </c>
      <c r="G3" s="305" t="s">
        <v>55</v>
      </c>
      <c r="H3" s="305" t="s">
        <v>56</v>
      </c>
      <c r="I3" s="305" t="s">
        <v>183</v>
      </c>
      <c r="J3" s="305" t="s">
        <v>182</v>
      </c>
      <c r="K3" s="305" t="s">
        <v>185</v>
      </c>
    </row>
    <row r="4" spans="1:11" ht="15.75" customHeight="1">
      <c r="A4" s="116">
        <v>1</v>
      </c>
      <c r="B4" s="116">
        <v>1</v>
      </c>
      <c r="C4" s="116">
        <v>244</v>
      </c>
      <c r="D4" s="116">
        <v>4854</v>
      </c>
      <c r="E4" s="116">
        <v>2052</v>
      </c>
      <c r="F4" s="116">
        <v>600</v>
      </c>
      <c r="G4" s="116">
        <v>85</v>
      </c>
      <c r="H4" s="116">
        <v>12</v>
      </c>
      <c r="I4" s="116">
        <v>1</v>
      </c>
      <c r="J4" s="116">
        <v>19</v>
      </c>
      <c r="K4" s="116">
        <f t="shared" ref="K4:K16" si="0">SUM(B4:J4)</f>
        <v>7868</v>
      </c>
    </row>
    <row r="5" spans="1:11" ht="15.75" customHeight="1">
      <c r="A5" s="116">
        <v>2</v>
      </c>
      <c r="B5" s="116">
        <v>0</v>
      </c>
      <c r="C5" s="116">
        <v>53</v>
      </c>
      <c r="D5" s="116">
        <v>3091</v>
      </c>
      <c r="E5" s="116">
        <v>3672</v>
      </c>
      <c r="F5" s="116">
        <v>1291</v>
      </c>
      <c r="G5" s="116">
        <v>343</v>
      </c>
      <c r="H5" s="116">
        <v>30</v>
      </c>
      <c r="I5" s="116">
        <v>14</v>
      </c>
      <c r="J5" s="116">
        <v>19</v>
      </c>
      <c r="K5" s="116">
        <f t="shared" si="0"/>
        <v>8513</v>
      </c>
    </row>
    <row r="6" spans="1:11" ht="15.75" customHeight="1">
      <c r="A6" s="116">
        <v>3</v>
      </c>
      <c r="B6" s="116">
        <v>0</v>
      </c>
      <c r="C6" s="116">
        <v>27</v>
      </c>
      <c r="D6" s="116">
        <v>1244</v>
      </c>
      <c r="E6" s="116">
        <v>3628</v>
      </c>
      <c r="F6" s="116">
        <v>1703</v>
      </c>
      <c r="G6" s="116">
        <v>601</v>
      </c>
      <c r="H6" s="116">
        <v>38</v>
      </c>
      <c r="I6" s="116">
        <v>37</v>
      </c>
      <c r="J6" s="116">
        <v>40</v>
      </c>
      <c r="K6" s="116">
        <f t="shared" si="0"/>
        <v>7318</v>
      </c>
    </row>
    <row r="7" spans="1:11" ht="15.75" customHeight="1">
      <c r="A7" s="116">
        <v>4</v>
      </c>
      <c r="B7" s="116">
        <v>0</v>
      </c>
      <c r="C7" s="116">
        <v>14</v>
      </c>
      <c r="D7" s="116">
        <v>581</v>
      </c>
      <c r="E7" s="116">
        <v>2124</v>
      </c>
      <c r="F7" s="116">
        <v>1566</v>
      </c>
      <c r="G7" s="116">
        <v>621</v>
      </c>
      <c r="H7" s="116">
        <v>66</v>
      </c>
      <c r="I7" s="116">
        <v>48</v>
      </c>
      <c r="J7" s="116">
        <v>18</v>
      </c>
      <c r="K7" s="116">
        <f t="shared" si="0"/>
        <v>5038</v>
      </c>
    </row>
    <row r="8" spans="1:11" ht="15.75" customHeight="1">
      <c r="A8" s="116">
        <v>5</v>
      </c>
      <c r="B8" s="116">
        <v>0</v>
      </c>
      <c r="C8" s="116">
        <v>8</v>
      </c>
      <c r="D8" s="116">
        <v>284</v>
      </c>
      <c r="E8" s="116">
        <v>1033</v>
      </c>
      <c r="F8" s="116">
        <v>1109</v>
      </c>
      <c r="G8" s="116">
        <v>509</v>
      </c>
      <c r="H8" s="116">
        <v>96</v>
      </c>
      <c r="I8" s="116">
        <v>57</v>
      </c>
      <c r="J8" s="116">
        <v>16</v>
      </c>
      <c r="K8" s="116">
        <f t="shared" si="0"/>
        <v>3112</v>
      </c>
    </row>
    <row r="9" spans="1:11" ht="15.75" customHeight="1">
      <c r="A9" s="116">
        <v>6</v>
      </c>
      <c r="B9" s="116">
        <v>0</v>
      </c>
      <c r="C9" s="116">
        <v>8</v>
      </c>
      <c r="D9" s="116">
        <v>200</v>
      </c>
      <c r="E9" s="116">
        <v>529</v>
      </c>
      <c r="F9" s="116">
        <v>657</v>
      </c>
      <c r="G9" s="116">
        <v>380</v>
      </c>
      <c r="H9" s="116">
        <v>99</v>
      </c>
      <c r="I9" s="116">
        <v>76</v>
      </c>
      <c r="J9" s="116">
        <v>7</v>
      </c>
      <c r="K9" s="116">
        <f t="shared" si="0"/>
        <v>1956</v>
      </c>
    </row>
    <row r="10" spans="1:11" ht="15.75" customHeight="1">
      <c r="A10" s="116">
        <v>7</v>
      </c>
      <c r="B10" s="116">
        <v>0</v>
      </c>
      <c r="C10" s="116">
        <v>1</v>
      </c>
      <c r="D10" s="116">
        <v>83</v>
      </c>
      <c r="E10" s="116">
        <v>217</v>
      </c>
      <c r="F10" s="116">
        <v>310</v>
      </c>
      <c r="G10" s="116">
        <v>298</v>
      </c>
      <c r="H10" s="116">
        <v>83</v>
      </c>
      <c r="I10" s="116">
        <v>39</v>
      </c>
      <c r="J10" s="116">
        <v>6</v>
      </c>
      <c r="K10" s="116">
        <f t="shared" si="0"/>
        <v>1037</v>
      </c>
    </row>
    <row r="11" spans="1:11" ht="15.75" customHeight="1">
      <c r="A11" s="116">
        <v>8</v>
      </c>
      <c r="B11" s="116">
        <v>0</v>
      </c>
      <c r="C11" s="116">
        <v>2</v>
      </c>
      <c r="D11" s="116">
        <v>40</v>
      </c>
      <c r="E11" s="116">
        <v>96</v>
      </c>
      <c r="F11" s="116">
        <v>169</v>
      </c>
      <c r="G11" s="116">
        <v>188</v>
      </c>
      <c r="H11" s="116">
        <v>41</v>
      </c>
      <c r="I11" s="116">
        <v>23</v>
      </c>
      <c r="J11" s="116">
        <v>4</v>
      </c>
      <c r="K11" s="116">
        <f t="shared" si="0"/>
        <v>563</v>
      </c>
    </row>
    <row r="12" spans="1:11" ht="15.75" customHeight="1">
      <c r="A12" s="116">
        <v>9</v>
      </c>
      <c r="B12" s="116">
        <v>0</v>
      </c>
      <c r="C12" s="116">
        <v>0</v>
      </c>
      <c r="D12" s="116">
        <v>28</v>
      </c>
      <c r="E12" s="116">
        <v>44</v>
      </c>
      <c r="F12" s="116">
        <v>63</v>
      </c>
      <c r="G12" s="116">
        <v>99</v>
      </c>
      <c r="H12" s="116">
        <v>28</v>
      </c>
      <c r="I12" s="116">
        <v>34</v>
      </c>
      <c r="J12" s="116">
        <v>2</v>
      </c>
      <c r="K12" s="116">
        <f t="shared" si="0"/>
        <v>298</v>
      </c>
    </row>
    <row r="13" spans="1:11" ht="15.75" customHeight="1">
      <c r="A13" s="116">
        <v>10</v>
      </c>
      <c r="B13" s="116">
        <v>0</v>
      </c>
      <c r="C13" s="116">
        <v>0</v>
      </c>
      <c r="D13" s="116">
        <v>1</v>
      </c>
      <c r="E13" s="116">
        <v>17</v>
      </c>
      <c r="F13" s="116">
        <v>26</v>
      </c>
      <c r="G13" s="116">
        <v>57</v>
      </c>
      <c r="H13" s="116">
        <v>28</v>
      </c>
      <c r="I13" s="116">
        <v>16</v>
      </c>
      <c r="J13" s="116">
        <v>1</v>
      </c>
      <c r="K13" s="116">
        <f t="shared" si="0"/>
        <v>146</v>
      </c>
    </row>
    <row r="14" spans="1:11" ht="15.75" customHeight="1">
      <c r="A14" s="117" t="s">
        <v>149</v>
      </c>
      <c r="B14" s="116">
        <v>0</v>
      </c>
      <c r="C14" s="116">
        <v>0</v>
      </c>
      <c r="D14" s="116">
        <v>3</v>
      </c>
      <c r="E14" s="116">
        <v>6</v>
      </c>
      <c r="F14" s="116">
        <v>15</v>
      </c>
      <c r="G14" s="116">
        <v>18</v>
      </c>
      <c r="H14" s="116">
        <v>7</v>
      </c>
      <c r="I14" s="116">
        <v>4</v>
      </c>
      <c r="J14" s="116">
        <v>5</v>
      </c>
      <c r="K14" s="116">
        <f t="shared" si="0"/>
        <v>58</v>
      </c>
    </row>
    <row r="15" spans="1:11" ht="15.75" customHeight="1">
      <c r="A15" s="117" t="s">
        <v>150</v>
      </c>
      <c r="B15" s="116">
        <v>0</v>
      </c>
      <c r="C15" s="116">
        <v>1</v>
      </c>
      <c r="D15" s="116">
        <v>82</v>
      </c>
      <c r="E15" s="116">
        <v>72</v>
      </c>
      <c r="F15" s="116">
        <v>56</v>
      </c>
      <c r="G15" s="116">
        <v>16</v>
      </c>
      <c r="H15" s="116">
        <v>5</v>
      </c>
      <c r="I15" s="116">
        <v>0</v>
      </c>
      <c r="J15" s="116">
        <v>837</v>
      </c>
      <c r="K15" s="116">
        <f t="shared" si="0"/>
        <v>1069</v>
      </c>
    </row>
    <row r="16" spans="1:11" ht="15.75" customHeight="1">
      <c r="A16" s="115" t="s">
        <v>19</v>
      </c>
      <c r="B16" s="115">
        <f t="shared" ref="B16:J16" si="1">SUM(B4:B15)</f>
        <v>1</v>
      </c>
      <c r="C16" s="115">
        <f t="shared" si="1"/>
        <v>358</v>
      </c>
      <c r="D16" s="115">
        <f t="shared" si="1"/>
        <v>10491</v>
      </c>
      <c r="E16" s="115">
        <f t="shared" si="1"/>
        <v>13490</v>
      </c>
      <c r="F16" s="115">
        <f t="shared" si="1"/>
        <v>7565</v>
      </c>
      <c r="G16" s="115">
        <f t="shared" si="1"/>
        <v>3215</v>
      </c>
      <c r="H16" s="115">
        <f t="shared" si="1"/>
        <v>533</v>
      </c>
      <c r="I16" s="115">
        <f t="shared" si="1"/>
        <v>349</v>
      </c>
      <c r="J16" s="115">
        <f t="shared" si="1"/>
        <v>974</v>
      </c>
      <c r="K16" s="115">
        <f t="shared" si="0"/>
        <v>36976</v>
      </c>
    </row>
    <row r="17" spans="1:11">
      <c r="A17" s="448" t="s">
        <v>179</v>
      </c>
      <c r="B17" s="448"/>
      <c r="C17" s="448"/>
      <c r="D17" s="448"/>
    </row>
    <row r="18" spans="1:11" ht="15.75" customHeight="1">
      <c r="A18" s="120"/>
      <c r="B18" s="120"/>
      <c r="C18" s="120"/>
      <c r="D18" s="120"/>
    </row>
    <row r="19" spans="1:11" ht="15.75" customHeight="1">
      <c r="A19" s="442" t="s">
        <v>532</v>
      </c>
      <c r="B19" s="442"/>
      <c r="C19" s="442"/>
      <c r="D19" s="442"/>
      <c r="E19" s="442"/>
      <c r="F19" s="442"/>
      <c r="G19" s="442"/>
      <c r="H19" s="442"/>
      <c r="I19" s="442"/>
      <c r="J19" s="442"/>
      <c r="K19" s="442"/>
    </row>
    <row r="20" spans="1:11" ht="15.75" customHeight="1">
      <c r="A20" s="443" t="s">
        <v>146</v>
      </c>
      <c r="B20" s="445" t="s">
        <v>186</v>
      </c>
      <c r="C20" s="446"/>
      <c r="D20" s="446"/>
      <c r="E20" s="446"/>
      <c r="F20" s="446"/>
      <c r="G20" s="446"/>
      <c r="H20" s="446"/>
      <c r="I20" s="446"/>
      <c r="J20" s="446"/>
      <c r="K20" s="447"/>
    </row>
    <row r="21" spans="1:11" ht="31.5">
      <c r="A21" s="444"/>
      <c r="B21" s="305" t="s">
        <v>184</v>
      </c>
      <c r="C21" s="305" t="s">
        <v>51</v>
      </c>
      <c r="D21" s="305" t="s">
        <v>52</v>
      </c>
      <c r="E21" s="305" t="s">
        <v>53</v>
      </c>
      <c r="F21" s="305" t="s">
        <v>54</v>
      </c>
      <c r="G21" s="305" t="s">
        <v>55</v>
      </c>
      <c r="H21" s="305" t="s">
        <v>56</v>
      </c>
      <c r="I21" s="305" t="s">
        <v>183</v>
      </c>
      <c r="J21" s="305" t="s">
        <v>182</v>
      </c>
      <c r="K21" s="305" t="s">
        <v>185</v>
      </c>
    </row>
    <row r="22" spans="1:11">
      <c r="A22" s="116">
        <v>1</v>
      </c>
      <c r="B22" s="116">
        <v>0</v>
      </c>
      <c r="C22" s="116">
        <v>453</v>
      </c>
      <c r="D22" s="116">
        <v>5998</v>
      </c>
      <c r="E22" s="116">
        <v>3187</v>
      </c>
      <c r="F22" s="116">
        <v>1300</v>
      </c>
      <c r="G22" s="116">
        <v>213</v>
      </c>
      <c r="H22" s="116">
        <v>57</v>
      </c>
      <c r="I22" s="116">
        <v>8</v>
      </c>
      <c r="J22" s="116">
        <v>8</v>
      </c>
      <c r="K22" s="116">
        <v>11224</v>
      </c>
    </row>
    <row r="23" spans="1:11">
      <c r="A23" s="116">
        <v>2</v>
      </c>
      <c r="B23" s="116">
        <v>0</v>
      </c>
      <c r="C23" s="116">
        <v>139</v>
      </c>
      <c r="D23" s="116">
        <v>3774</v>
      </c>
      <c r="E23" s="116">
        <v>4390</v>
      </c>
      <c r="F23" s="116">
        <v>1661</v>
      </c>
      <c r="G23" s="116">
        <v>370</v>
      </c>
      <c r="H23" s="116">
        <v>46</v>
      </c>
      <c r="I23" s="116">
        <v>9</v>
      </c>
      <c r="J23" s="116">
        <v>11</v>
      </c>
      <c r="K23" s="116">
        <v>10400</v>
      </c>
    </row>
    <row r="24" spans="1:11">
      <c r="A24" s="116">
        <v>3</v>
      </c>
      <c r="B24" s="116">
        <v>0</v>
      </c>
      <c r="C24" s="116">
        <v>98</v>
      </c>
      <c r="D24" s="116">
        <v>1679</v>
      </c>
      <c r="E24" s="116">
        <v>4345</v>
      </c>
      <c r="F24" s="116">
        <v>2084</v>
      </c>
      <c r="G24" s="116">
        <v>598</v>
      </c>
      <c r="H24" s="116">
        <v>64</v>
      </c>
      <c r="I24" s="116">
        <v>22</v>
      </c>
      <c r="J24" s="116">
        <v>7</v>
      </c>
      <c r="K24" s="116">
        <v>8897</v>
      </c>
    </row>
    <row r="25" spans="1:11">
      <c r="A25" s="116">
        <v>4</v>
      </c>
      <c r="B25" s="116">
        <v>1</v>
      </c>
      <c r="C25" s="116">
        <v>71</v>
      </c>
      <c r="D25" s="116">
        <v>962</v>
      </c>
      <c r="E25" s="116">
        <v>2643</v>
      </c>
      <c r="F25" s="116">
        <v>2053</v>
      </c>
      <c r="G25" s="116">
        <v>770</v>
      </c>
      <c r="H25" s="116">
        <v>99</v>
      </c>
      <c r="I25" s="116">
        <v>22</v>
      </c>
      <c r="J25" s="116">
        <v>5</v>
      </c>
      <c r="K25" s="116">
        <v>6626</v>
      </c>
    </row>
    <row r="26" spans="1:11">
      <c r="A26" s="116">
        <v>5</v>
      </c>
      <c r="B26" s="116">
        <v>0</v>
      </c>
      <c r="C26" s="116">
        <v>29</v>
      </c>
      <c r="D26" s="116">
        <v>520</v>
      </c>
      <c r="E26" s="116">
        <v>1244</v>
      </c>
      <c r="F26" s="116">
        <v>1451</v>
      </c>
      <c r="G26" s="116">
        <v>688</v>
      </c>
      <c r="H26" s="116">
        <v>111</v>
      </c>
      <c r="I26" s="116">
        <v>25</v>
      </c>
      <c r="J26" s="116">
        <v>3</v>
      </c>
      <c r="K26" s="116">
        <v>4071</v>
      </c>
    </row>
    <row r="27" spans="1:11">
      <c r="A27" s="116">
        <v>6</v>
      </c>
      <c r="B27" s="116">
        <v>0</v>
      </c>
      <c r="C27" s="116">
        <v>17</v>
      </c>
      <c r="D27" s="116">
        <v>260</v>
      </c>
      <c r="E27" s="116">
        <v>562</v>
      </c>
      <c r="F27" s="116">
        <v>814</v>
      </c>
      <c r="G27" s="116">
        <v>494</v>
      </c>
      <c r="H27" s="116">
        <v>121</v>
      </c>
      <c r="I27" s="116">
        <v>27</v>
      </c>
      <c r="J27" s="116">
        <v>4</v>
      </c>
      <c r="K27" s="116">
        <v>2299</v>
      </c>
    </row>
    <row r="28" spans="1:11">
      <c r="A28" s="116">
        <v>7</v>
      </c>
      <c r="B28" s="116">
        <v>0</v>
      </c>
      <c r="C28" s="116">
        <v>7</v>
      </c>
      <c r="D28" s="116">
        <v>115</v>
      </c>
      <c r="E28" s="116">
        <v>234</v>
      </c>
      <c r="F28" s="116">
        <v>351</v>
      </c>
      <c r="G28" s="116">
        <v>334</v>
      </c>
      <c r="H28" s="116">
        <v>107</v>
      </c>
      <c r="I28" s="116">
        <v>14</v>
      </c>
      <c r="J28" s="116">
        <v>6</v>
      </c>
      <c r="K28" s="116">
        <v>1168</v>
      </c>
    </row>
    <row r="29" spans="1:11">
      <c r="A29" s="116">
        <v>8</v>
      </c>
      <c r="B29" s="116">
        <v>0</v>
      </c>
      <c r="C29" s="116">
        <v>7</v>
      </c>
      <c r="D29" s="116">
        <v>59</v>
      </c>
      <c r="E29" s="116">
        <v>113</v>
      </c>
      <c r="F29" s="116">
        <v>170</v>
      </c>
      <c r="G29" s="116">
        <v>194</v>
      </c>
      <c r="H29" s="116">
        <v>77</v>
      </c>
      <c r="I29" s="116">
        <v>18</v>
      </c>
      <c r="J29" s="116">
        <v>1</v>
      </c>
      <c r="K29" s="116">
        <v>639</v>
      </c>
    </row>
    <row r="30" spans="1:11">
      <c r="A30" s="116">
        <v>9</v>
      </c>
      <c r="B30" s="116">
        <v>0</v>
      </c>
      <c r="C30" s="116">
        <v>0</v>
      </c>
      <c r="D30" s="116">
        <v>25</v>
      </c>
      <c r="E30" s="116">
        <v>58</v>
      </c>
      <c r="F30" s="116">
        <v>73</v>
      </c>
      <c r="G30" s="116">
        <v>102</v>
      </c>
      <c r="H30" s="116">
        <v>38</v>
      </c>
      <c r="I30" s="116">
        <v>12</v>
      </c>
      <c r="J30" s="116">
        <v>0</v>
      </c>
      <c r="K30" s="116">
        <v>308</v>
      </c>
    </row>
    <row r="31" spans="1:11">
      <c r="A31" s="116">
        <v>10</v>
      </c>
      <c r="B31" s="116">
        <v>0</v>
      </c>
      <c r="C31" s="116">
        <v>0</v>
      </c>
      <c r="D31" s="116">
        <v>14</v>
      </c>
      <c r="E31" s="116">
        <v>21</v>
      </c>
      <c r="F31" s="116">
        <v>37</v>
      </c>
      <c r="G31" s="116">
        <v>55</v>
      </c>
      <c r="H31" s="116">
        <v>28</v>
      </c>
      <c r="I31" s="116">
        <v>8</v>
      </c>
      <c r="J31" s="116">
        <v>0</v>
      </c>
      <c r="K31" s="116">
        <v>163</v>
      </c>
    </row>
    <row r="32" spans="1:11">
      <c r="A32" s="117" t="s">
        <v>149</v>
      </c>
      <c r="B32" s="116">
        <v>0</v>
      </c>
      <c r="C32" s="116">
        <v>0</v>
      </c>
      <c r="D32" s="116">
        <v>4</v>
      </c>
      <c r="E32" s="116">
        <v>9</v>
      </c>
      <c r="F32" s="116">
        <v>8</v>
      </c>
      <c r="G32" s="116">
        <v>6</v>
      </c>
      <c r="H32" s="116">
        <v>8</v>
      </c>
      <c r="I32" s="116">
        <v>8</v>
      </c>
      <c r="J32" s="116">
        <v>1</v>
      </c>
      <c r="K32" s="116">
        <v>44</v>
      </c>
    </row>
    <row r="33" spans="1:11">
      <c r="A33" s="117" t="s">
        <v>150</v>
      </c>
      <c r="B33" s="116">
        <v>0</v>
      </c>
      <c r="C33" s="116">
        <v>3</v>
      </c>
      <c r="D33" s="116">
        <v>24</v>
      </c>
      <c r="E33" s="116">
        <v>36</v>
      </c>
      <c r="F33" s="116">
        <v>25</v>
      </c>
      <c r="G33" s="116">
        <v>10</v>
      </c>
      <c r="H33" s="116">
        <v>4</v>
      </c>
      <c r="I33" s="116">
        <v>4</v>
      </c>
      <c r="J33" s="116">
        <v>253</v>
      </c>
      <c r="K33" s="116">
        <v>359</v>
      </c>
    </row>
    <row r="34" spans="1:11">
      <c r="A34" s="115" t="s">
        <v>19</v>
      </c>
      <c r="B34" s="115">
        <v>1</v>
      </c>
      <c r="C34" s="115">
        <f t="shared" ref="C34:K34" si="2">SUM(C22:C33)</f>
        <v>824</v>
      </c>
      <c r="D34" s="115">
        <f t="shared" si="2"/>
        <v>13434</v>
      </c>
      <c r="E34" s="115">
        <f t="shared" si="2"/>
        <v>16842</v>
      </c>
      <c r="F34" s="115">
        <f t="shared" si="2"/>
        <v>10027</v>
      </c>
      <c r="G34" s="115">
        <f t="shared" si="2"/>
        <v>3834</v>
      </c>
      <c r="H34" s="115">
        <f t="shared" si="2"/>
        <v>760</v>
      </c>
      <c r="I34" s="115">
        <f t="shared" si="2"/>
        <v>177</v>
      </c>
      <c r="J34" s="115">
        <f t="shared" si="2"/>
        <v>299</v>
      </c>
      <c r="K34" s="115">
        <f t="shared" si="2"/>
        <v>46198</v>
      </c>
    </row>
    <row r="35" spans="1:11">
      <c r="A35" s="448" t="s">
        <v>179</v>
      </c>
      <c r="B35" s="448"/>
      <c r="C35" s="448"/>
      <c r="D35" s="448"/>
    </row>
    <row r="36" spans="1:11">
      <c r="A36" s="120"/>
      <c r="B36" s="120"/>
      <c r="C36" s="120"/>
      <c r="D36" s="120"/>
    </row>
    <row r="37" spans="1:11">
      <c r="A37" s="442" t="s">
        <v>533</v>
      </c>
      <c r="B37" s="442"/>
      <c r="C37" s="442"/>
      <c r="D37" s="442"/>
      <c r="E37" s="442"/>
      <c r="F37" s="442"/>
      <c r="G37" s="442"/>
      <c r="H37" s="442"/>
      <c r="I37" s="442"/>
      <c r="J37" s="442"/>
      <c r="K37" s="442"/>
    </row>
    <row r="38" spans="1:11">
      <c r="A38" s="449" t="s">
        <v>146</v>
      </c>
      <c r="B38" s="451" t="s">
        <v>186</v>
      </c>
      <c r="C38" s="452"/>
      <c r="D38" s="452"/>
      <c r="E38" s="452"/>
      <c r="F38" s="452"/>
      <c r="G38" s="452"/>
      <c r="H38" s="452"/>
      <c r="I38" s="452"/>
      <c r="J38" s="452"/>
      <c r="K38" s="453"/>
    </row>
    <row r="39" spans="1:11" ht="31.5">
      <c r="A39" s="450"/>
      <c r="B39" s="245" t="s">
        <v>184</v>
      </c>
      <c r="C39" s="245" t="s">
        <v>51</v>
      </c>
      <c r="D39" s="245" t="s">
        <v>52</v>
      </c>
      <c r="E39" s="245" t="s">
        <v>53</v>
      </c>
      <c r="F39" s="245" t="s">
        <v>54</v>
      </c>
      <c r="G39" s="245" t="s">
        <v>55</v>
      </c>
      <c r="H39" s="245" t="s">
        <v>56</v>
      </c>
      <c r="I39" s="245" t="s">
        <v>183</v>
      </c>
      <c r="J39" s="245" t="s">
        <v>182</v>
      </c>
      <c r="K39" s="245" t="s">
        <v>185</v>
      </c>
    </row>
    <row r="40" spans="1:11">
      <c r="A40" s="135">
        <v>1</v>
      </c>
      <c r="B40" s="135">
        <v>1</v>
      </c>
      <c r="C40" s="135">
        <v>293</v>
      </c>
      <c r="D40" s="135">
        <v>4077</v>
      </c>
      <c r="E40" s="135">
        <v>2438</v>
      </c>
      <c r="F40" s="135">
        <v>921</v>
      </c>
      <c r="G40" s="135">
        <v>168</v>
      </c>
      <c r="H40" s="135">
        <v>27</v>
      </c>
      <c r="I40" s="135">
        <v>13</v>
      </c>
      <c r="J40" s="135">
        <v>13</v>
      </c>
      <c r="K40" s="135">
        <f t="shared" ref="K40:K52" si="3">SUM(B40:J40)</f>
        <v>7951</v>
      </c>
    </row>
    <row r="41" spans="1:11">
      <c r="A41" s="135">
        <v>2</v>
      </c>
      <c r="B41" s="135">
        <v>0</v>
      </c>
      <c r="C41" s="135">
        <v>51</v>
      </c>
      <c r="D41" s="135">
        <v>2583</v>
      </c>
      <c r="E41" s="135">
        <v>3608</v>
      </c>
      <c r="F41" s="135">
        <v>1391</v>
      </c>
      <c r="G41" s="135">
        <v>352</v>
      </c>
      <c r="H41" s="135">
        <v>38</v>
      </c>
      <c r="I41" s="135">
        <v>16</v>
      </c>
      <c r="J41" s="135">
        <v>24</v>
      </c>
      <c r="K41" s="135">
        <f t="shared" si="3"/>
        <v>8063</v>
      </c>
    </row>
    <row r="42" spans="1:11">
      <c r="A42" s="135">
        <v>3</v>
      </c>
      <c r="B42" s="135">
        <v>0</v>
      </c>
      <c r="C42" s="135">
        <v>30</v>
      </c>
      <c r="D42" s="135">
        <v>1159</v>
      </c>
      <c r="E42" s="135">
        <v>3361</v>
      </c>
      <c r="F42" s="135">
        <v>1770</v>
      </c>
      <c r="G42" s="135">
        <v>605</v>
      </c>
      <c r="H42" s="135">
        <v>53</v>
      </c>
      <c r="I42" s="135">
        <v>16</v>
      </c>
      <c r="J42" s="135">
        <v>23</v>
      </c>
      <c r="K42" s="135">
        <f t="shared" si="3"/>
        <v>7017</v>
      </c>
    </row>
    <row r="43" spans="1:11">
      <c r="A43" s="135">
        <v>4</v>
      </c>
      <c r="B43" s="135">
        <v>0</v>
      </c>
      <c r="C43" s="135">
        <v>25</v>
      </c>
      <c r="D43" s="135">
        <v>679</v>
      </c>
      <c r="E43" s="135">
        <v>2075</v>
      </c>
      <c r="F43" s="135">
        <v>1615</v>
      </c>
      <c r="G43" s="135">
        <v>711</v>
      </c>
      <c r="H43" s="135">
        <v>83</v>
      </c>
      <c r="I43" s="135">
        <v>31</v>
      </c>
      <c r="J43" s="135">
        <v>19</v>
      </c>
      <c r="K43" s="135">
        <f t="shared" si="3"/>
        <v>5238</v>
      </c>
    </row>
    <row r="44" spans="1:11">
      <c r="A44" s="135">
        <v>5</v>
      </c>
      <c r="B44" s="135">
        <v>0</v>
      </c>
      <c r="C44" s="135">
        <v>9</v>
      </c>
      <c r="D44" s="135">
        <v>354</v>
      </c>
      <c r="E44" s="135">
        <v>980</v>
      </c>
      <c r="F44" s="135">
        <v>1056</v>
      </c>
      <c r="G44" s="135">
        <v>538</v>
      </c>
      <c r="H44" s="135">
        <v>81</v>
      </c>
      <c r="I44" s="135">
        <v>52</v>
      </c>
      <c r="J44" s="135">
        <v>12</v>
      </c>
      <c r="K44" s="135">
        <f t="shared" si="3"/>
        <v>3082</v>
      </c>
    </row>
    <row r="45" spans="1:11">
      <c r="A45" s="135">
        <v>6</v>
      </c>
      <c r="B45" s="135">
        <v>0</v>
      </c>
      <c r="C45" s="135">
        <v>5</v>
      </c>
      <c r="D45" s="135">
        <v>215</v>
      </c>
      <c r="E45" s="135">
        <v>458</v>
      </c>
      <c r="F45" s="135">
        <v>650</v>
      </c>
      <c r="G45" s="135">
        <v>447</v>
      </c>
      <c r="H45" s="135">
        <v>89</v>
      </c>
      <c r="I45" s="135">
        <v>27</v>
      </c>
      <c r="J45" s="135">
        <v>14</v>
      </c>
      <c r="K45" s="135">
        <f t="shared" si="3"/>
        <v>1905</v>
      </c>
    </row>
    <row r="46" spans="1:11">
      <c r="A46" s="135">
        <v>7</v>
      </c>
      <c r="B46" s="135">
        <v>0</v>
      </c>
      <c r="C46" s="135">
        <v>6</v>
      </c>
      <c r="D46" s="135">
        <v>98</v>
      </c>
      <c r="E46" s="135">
        <v>213</v>
      </c>
      <c r="F46" s="135">
        <v>323</v>
      </c>
      <c r="G46" s="135">
        <v>261</v>
      </c>
      <c r="H46" s="135">
        <v>67</v>
      </c>
      <c r="I46" s="135">
        <v>21</v>
      </c>
      <c r="J46" s="135">
        <v>4</v>
      </c>
      <c r="K46" s="135">
        <f t="shared" si="3"/>
        <v>993</v>
      </c>
    </row>
    <row r="47" spans="1:11">
      <c r="A47" s="135">
        <v>8</v>
      </c>
      <c r="B47" s="135">
        <v>0</v>
      </c>
      <c r="C47" s="135">
        <v>3</v>
      </c>
      <c r="D47" s="135">
        <v>53</v>
      </c>
      <c r="E47" s="135">
        <v>110</v>
      </c>
      <c r="F47" s="135">
        <v>115</v>
      </c>
      <c r="G47" s="135">
        <v>161</v>
      </c>
      <c r="H47" s="135">
        <v>38</v>
      </c>
      <c r="I47" s="135">
        <v>12</v>
      </c>
      <c r="J47" s="135">
        <v>1</v>
      </c>
      <c r="K47" s="135">
        <f t="shared" si="3"/>
        <v>493</v>
      </c>
    </row>
    <row r="48" spans="1:11">
      <c r="A48" s="135">
        <v>9</v>
      </c>
      <c r="B48" s="135">
        <v>0</v>
      </c>
      <c r="C48" s="135">
        <v>1</v>
      </c>
      <c r="D48" s="135">
        <v>37</v>
      </c>
      <c r="E48" s="135">
        <v>34</v>
      </c>
      <c r="F48" s="135">
        <v>56</v>
      </c>
      <c r="G48" s="135">
        <v>100</v>
      </c>
      <c r="H48" s="135">
        <v>22</v>
      </c>
      <c r="I48" s="135">
        <v>7</v>
      </c>
      <c r="J48" s="135">
        <v>2</v>
      </c>
      <c r="K48" s="135">
        <f t="shared" si="3"/>
        <v>259</v>
      </c>
    </row>
    <row r="49" spans="1:11">
      <c r="A49" s="135">
        <v>10</v>
      </c>
      <c r="B49" s="135">
        <v>0</v>
      </c>
      <c r="C49" s="135">
        <v>0</v>
      </c>
      <c r="D49" s="135">
        <v>6</v>
      </c>
      <c r="E49" s="135">
        <v>16</v>
      </c>
      <c r="F49" s="135">
        <v>18</v>
      </c>
      <c r="G49" s="135">
        <v>39</v>
      </c>
      <c r="H49" s="135">
        <v>11</v>
      </c>
      <c r="I49" s="135">
        <v>8</v>
      </c>
      <c r="J49" s="135">
        <v>2</v>
      </c>
      <c r="K49" s="135">
        <f t="shared" si="3"/>
        <v>100</v>
      </c>
    </row>
    <row r="50" spans="1:11">
      <c r="A50" s="246" t="s">
        <v>149</v>
      </c>
      <c r="B50" s="135">
        <v>1</v>
      </c>
      <c r="C50" s="135">
        <v>1</v>
      </c>
      <c r="D50" s="135">
        <v>11</v>
      </c>
      <c r="E50" s="135">
        <v>19</v>
      </c>
      <c r="F50" s="135">
        <v>16</v>
      </c>
      <c r="G50" s="135">
        <v>21</v>
      </c>
      <c r="H50" s="135">
        <v>9</v>
      </c>
      <c r="I50" s="135">
        <v>9</v>
      </c>
      <c r="J50" s="135">
        <v>3</v>
      </c>
      <c r="K50" s="135">
        <f t="shared" si="3"/>
        <v>90</v>
      </c>
    </row>
    <row r="51" spans="1:11">
      <c r="A51" s="246" t="s">
        <v>150</v>
      </c>
      <c r="B51" s="135">
        <v>0</v>
      </c>
      <c r="C51" s="135">
        <v>15</v>
      </c>
      <c r="D51" s="135">
        <v>160</v>
      </c>
      <c r="E51" s="135">
        <v>194</v>
      </c>
      <c r="F51" s="135">
        <v>88</v>
      </c>
      <c r="G51" s="135">
        <v>31</v>
      </c>
      <c r="H51" s="135">
        <v>6</v>
      </c>
      <c r="I51" s="135">
        <v>8</v>
      </c>
      <c r="J51" s="135">
        <v>774</v>
      </c>
      <c r="K51" s="135">
        <f t="shared" si="3"/>
        <v>1276</v>
      </c>
    </row>
    <row r="52" spans="1:11">
      <c r="A52" s="154" t="s">
        <v>19</v>
      </c>
      <c r="B52" s="154">
        <f t="shared" ref="B52:J52" si="4">SUM(B40:B51)</f>
        <v>2</v>
      </c>
      <c r="C52" s="154">
        <f t="shared" si="4"/>
        <v>439</v>
      </c>
      <c r="D52" s="154">
        <f t="shared" si="4"/>
        <v>9432</v>
      </c>
      <c r="E52" s="154">
        <f t="shared" si="4"/>
        <v>13506</v>
      </c>
      <c r="F52" s="154">
        <f t="shared" si="4"/>
        <v>8019</v>
      </c>
      <c r="G52" s="154">
        <f t="shared" si="4"/>
        <v>3434</v>
      </c>
      <c r="H52" s="154">
        <f t="shared" si="4"/>
        <v>524</v>
      </c>
      <c r="I52" s="154">
        <f t="shared" si="4"/>
        <v>220</v>
      </c>
      <c r="J52" s="154">
        <f t="shared" si="4"/>
        <v>891</v>
      </c>
      <c r="K52" s="154">
        <f t="shared" si="3"/>
        <v>36467</v>
      </c>
    </row>
    <row r="53" spans="1:11">
      <c r="A53" s="448" t="s">
        <v>179</v>
      </c>
      <c r="B53" s="448"/>
      <c r="C53" s="448"/>
      <c r="D53" s="448"/>
    </row>
  </sheetData>
  <mergeCells count="12">
    <mergeCell ref="A53:D53"/>
    <mergeCell ref="A37:K37"/>
    <mergeCell ref="A38:A39"/>
    <mergeCell ref="B38:K38"/>
    <mergeCell ref="A20:A21"/>
    <mergeCell ref="B20:K20"/>
    <mergeCell ref="A35:D35"/>
    <mergeCell ref="A1:K1"/>
    <mergeCell ref="A19:K19"/>
    <mergeCell ref="A2:A3"/>
    <mergeCell ref="B2:K2"/>
    <mergeCell ref="A17:D17"/>
  </mergeCells>
  <pageMargins left="0.84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9"/>
  <dimension ref="A1:M53"/>
  <sheetViews>
    <sheetView zoomScale="86" zoomScaleNormal="86" workbookViewId="0">
      <selection activeCell="M19" sqref="M19"/>
    </sheetView>
  </sheetViews>
  <sheetFormatPr defaultRowHeight="15"/>
  <cols>
    <col min="1" max="1" width="16.140625" style="111" customWidth="1"/>
    <col min="2" max="2" width="12" style="111" customWidth="1"/>
    <col min="3" max="11" width="10.5703125" style="111" customWidth="1"/>
    <col min="12" max="16384" width="9.140625" style="111"/>
  </cols>
  <sheetData>
    <row r="1" spans="1:11" ht="15.75" customHeight="1">
      <c r="A1" s="459" t="s">
        <v>534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</row>
    <row r="2" spans="1:11" s="113" customFormat="1" ht="15.75" customHeight="1">
      <c r="A2" s="454" t="s">
        <v>146</v>
      </c>
      <c r="B2" s="456" t="s">
        <v>186</v>
      </c>
      <c r="C2" s="457"/>
      <c r="D2" s="457"/>
      <c r="E2" s="457"/>
      <c r="F2" s="457"/>
      <c r="G2" s="457"/>
      <c r="H2" s="457"/>
      <c r="I2" s="457"/>
      <c r="J2" s="457"/>
      <c r="K2" s="458"/>
    </row>
    <row r="3" spans="1:11" s="113" customFormat="1" ht="15.75" customHeight="1">
      <c r="A3" s="455"/>
      <c r="B3" s="117" t="s">
        <v>184</v>
      </c>
      <c r="C3" s="117" t="s">
        <v>51</v>
      </c>
      <c r="D3" s="117" t="s">
        <v>52</v>
      </c>
      <c r="E3" s="117" t="s">
        <v>53</v>
      </c>
      <c r="F3" s="117" t="s">
        <v>54</v>
      </c>
      <c r="G3" s="117" t="s">
        <v>55</v>
      </c>
      <c r="H3" s="117" t="s">
        <v>56</v>
      </c>
      <c r="I3" s="117" t="s">
        <v>183</v>
      </c>
      <c r="J3" s="117" t="s">
        <v>182</v>
      </c>
      <c r="K3" s="117" t="s">
        <v>185</v>
      </c>
    </row>
    <row r="4" spans="1:11" s="109" customFormat="1" ht="15.75" customHeight="1">
      <c r="A4" s="116">
        <v>1</v>
      </c>
      <c r="B4" s="116">
        <v>0</v>
      </c>
      <c r="C4" s="116">
        <v>208</v>
      </c>
      <c r="D4" s="116">
        <v>4791</v>
      </c>
      <c r="E4" s="116">
        <v>2370</v>
      </c>
      <c r="F4" s="116">
        <v>1498</v>
      </c>
      <c r="G4" s="116">
        <v>299</v>
      </c>
      <c r="H4" s="116">
        <v>58</v>
      </c>
      <c r="I4" s="116">
        <v>13</v>
      </c>
      <c r="J4" s="116">
        <v>118</v>
      </c>
      <c r="K4" s="116">
        <f t="shared" ref="K4:K16" si="0">SUM(B4:J4)</f>
        <v>9355</v>
      </c>
    </row>
    <row r="5" spans="1:11" s="109" customFormat="1" ht="15.75" customHeight="1">
      <c r="A5" s="116">
        <v>2</v>
      </c>
      <c r="B5" s="116">
        <v>0</v>
      </c>
      <c r="C5" s="116">
        <v>60</v>
      </c>
      <c r="D5" s="116">
        <v>1829</v>
      </c>
      <c r="E5" s="116">
        <v>2242</v>
      </c>
      <c r="F5" s="116">
        <v>1157</v>
      </c>
      <c r="G5" s="116">
        <v>286</v>
      </c>
      <c r="H5" s="116">
        <v>40</v>
      </c>
      <c r="I5" s="116">
        <v>9</v>
      </c>
      <c r="J5" s="116">
        <v>80</v>
      </c>
      <c r="K5" s="116">
        <f t="shared" si="0"/>
        <v>5703</v>
      </c>
    </row>
    <row r="6" spans="1:11" s="109" customFormat="1" ht="15.75" customHeight="1">
      <c r="A6" s="116">
        <v>3</v>
      </c>
      <c r="B6" s="116">
        <v>0</v>
      </c>
      <c r="C6" s="116">
        <v>46</v>
      </c>
      <c r="D6" s="116">
        <v>758</v>
      </c>
      <c r="E6" s="116">
        <v>1845</v>
      </c>
      <c r="F6" s="116">
        <v>994</v>
      </c>
      <c r="G6" s="116">
        <v>346</v>
      </c>
      <c r="H6" s="116">
        <v>49</v>
      </c>
      <c r="I6" s="116">
        <v>21</v>
      </c>
      <c r="J6" s="116">
        <v>70</v>
      </c>
      <c r="K6" s="116">
        <f t="shared" si="0"/>
        <v>4129</v>
      </c>
    </row>
    <row r="7" spans="1:11" s="109" customFormat="1" ht="15.75" customHeight="1">
      <c r="A7" s="116">
        <v>4</v>
      </c>
      <c r="B7" s="116">
        <v>1</v>
      </c>
      <c r="C7" s="116">
        <v>22</v>
      </c>
      <c r="D7" s="116">
        <v>446</v>
      </c>
      <c r="E7" s="116">
        <v>1252</v>
      </c>
      <c r="F7" s="116">
        <v>823</v>
      </c>
      <c r="G7" s="116">
        <v>269</v>
      </c>
      <c r="H7" s="116">
        <v>56</v>
      </c>
      <c r="I7" s="116">
        <v>28</v>
      </c>
      <c r="J7" s="116">
        <v>81</v>
      </c>
      <c r="K7" s="116">
        <f t="shared" si="0"/>
        <v>2978</v>
      </c>
    </row>
    <row r="8" spans="1:11" s="109" customFormat="1" ht="15.75" customHeight="1">
      <c r="A8" s="116">
        <v>5</v>
      </c>
      <c r="B8" s="116">
        <v>0</v>
      </c>
      <c r="C8" s="116">
        <v>26</v>
      </c>
      <c r="D8" s="116">
        <v>227</v>
      </c>
      <c r="E8" s="116">
        <v>669</v>
      </c>
      <c r="F8" s="116">
        <v>617</v>
      </c>
      <c r="G8" s="116">
        <v>235</v>
      </c>
      <c r="H8" s="116">
        <v>45</v>
      </c>
      <c r="I8" s="116">
        <v>20</v>
      </c>
      <c r="J8" s="116">
        <v>70</v>
      </c>
      <c r="K8" s="116">
        <f t="shared" si="0"/>
        <v>1909</v>
      </c>
    </row>
    <row r="9" spans="1:11" s="109" customFormat="1" ht="15.75" customHeight="1">
      <c r="A9" s="116">
        <v>6</v>
      </c>
      <c r="B9" s="116">
        <v>0</v>
      </c>
      <c r="C9" s="116">
        <v>13</v>
      </c>
      <c r="D9" s="116">
        <v>107</v>
      </c>
      <c r="E9" s="116">
        <v>358</v>
      </c>
      <c r="F9" s="116">
        <v>365</v>
      </c>
      <c r="G9" s="116">
        <v>185</v>
      </c>
      <c r="H9" s="116">
        <v>35</v>
      </c>
      <c r="I9" s="116">
        <v>17</v>
      </c>
      <c r="J9" s="116">
        <v>45</v>
      </c>
      <c r="K9" s="116">
        <f t="shared" si="0"/>
        <v>1125</v>
      </c>
    </row>
    <row r="10" spans="1:11" s="109" customFormat="1" ht="15.75" customHeight="1">
      <c r="A10" s="116">
        <v>7</v>
      </c>
      <c r="B10" s="116">
        <v>0</v>
      </c>
      <c r="C10" s="116">
        <v>5</v>
      </c>
      <c r="D10" s="116">
        <v>55</v>
      </c>
      <c r="E10" s="116">
        <v>166</v>
      </c>
      <c r="F10" s="116">
        <v>177</v>
      </c>
      <c r="G10" s="116">
        <v>115</v>
      </c>
      <c r="H10" s="116">
        <v>14</v>
      </c>
      <c r="I10" s="116">
        <v>11</v>
      </c>
      <c r="J10" s="116">
        <v>26</v>
      </c>
      <c r="K10" s="116">
        <f t="shared" si="0"/>
        <v>569</v>
      </c>
    </row>
    <row r="11" spans="1:11" s="109" customFormat="1" ht="15.75" customHeight="1">
      <c r="A11" s="116">
        <v>8</v>
      </c>
      <c r="B11" s="116">
        <v>0</v>
      </c>
      <c r="C11" s="116">
        <v>3</v>
      </c>
      <c r="D11" s="116">
        <v>41</v>
      </c>
      <c r="E11" s="116">
        <v>61</v>
      </c>
      <c r="F11" s="116">
        <v>101</v>
      </c>
      <c r="G11" s="116">
        <v>92</v>
      </c>
      <c r="H11" s="116">
        <v>32</v>
      </c>
      <c r="I11" s="116">
        <v>9</v>
      </c>
      <c r="J11" s="116">
        <v>16</v>
      </c>
      <c r="K11" s="116">
        <f t="shared" si="0"/>
        <v>355</v>
      </c>
    </row>
    <row r="12" spans="1:11" s="109" customFormat="1" ht="15.75" customHeight="1">
      <c r="A12" s="116">
        <v>9</v>
      </c>
      <c r="B12" s="116">
        <v>0</v>
      </c>
      <c r="C12" s="116">
        <v>1</v>
      </c>
      <c r="D12" s="116">
        <v>19</v>
      </c>
      <c r="E12" s="116">
        <v>26</v>
      </c>
      <c r="F12" s="116">
        <v>36</v>
      </c>
      <c r="G12" s="116">
        <v>51</v>
      </c>
      <c r="H12" s="116">
        <v>10</v>
      </c>
      <c r="I12" s="116">
        <v>4</v>
      </c>
      <c r="J12" s="116">
        <v>2</v>
      </c>
      <c r="K12" s="116">
        <f t="shared" si="0"/>
        <v>149</v>
      </c>
    </row>
    <row r="13" spans="1:11" s="109" customFormat="1" ht="15.75" customHeight="1">
      <c r="A13" s="116">
        <v>10</v>
      </c>
      <c r="B13" s="116">
        <v>0</v>
      </c>
      <c r="C13" s="116">
        <v>2</v>
      </c>
      <c r="D13" s="116">
        <v>5</v>
      </c>
      <c r="E13" s="116">
        <v>9</v>
      </c>
      <c r="F13" s="116">
        <v>16</v>
      </c>
      <c r="G13" s="116">
        <v>17</v>
      </c>
      <c r="H13" s="116">
        <v>7</v>
      </c>
      <c r="I13" s="116">
        <v>3</v>
      </c>
      <c r="J13" s="116">
        <v>5</v>
      </c>
      <c r="K13" s="116">
        <f t="shared" si="0"/>
        <v>64</v>
      </c>
    </row>
    <row r="14" spans="1:11" s="109" customFormat="1" ht="15.75" customHeight="1">
      <c r="A14" s="117" t="s">
        <v>149</v>
      </c>
      <c r="B14" s="116">
        <v>0</v>
      </c>
      <c r="C14" s="116">
        <v>1</v>
      </c>
      <c r="D14" s="116">
        <v>6</v>
      </c>
      <c r="E14" s="116">
        <v>4</v>
      </c>
      <c r="F14" s="116">
        <v>6</v>
      </c>
      <c r="G14" s="116">
        <v>7</v>
      </c>
      <c r="H14" s="116">
        <v>3</v>
      </c>
      <c r="I14" s="116">
        <v>2</v>
      </c>
      <c r="J14" s="116">
        <v>4</v>
      </c>
      <c r="K14" s="116">
        <f t="shared" si="0"/>
        <v>33</v>
      </c>
    </row>
    <row r="15" spans="1:11" s="109" customFormat="1" ht="15.75" customHeight="1">
      <c r="A15" s="117" t="s">
        <v>150</v>
      </c>
      <c r="B15" s="116">
        <v>1</v>
      </c>
      <c r="C15" s="116">
        <v>4</v>
      </c>
      <c r="D15" s="116">
        <v>48</v>
      </c>
      <c r="E15" s="116">
        <v>47</v>
      </c>
      <c r="F15" s="116">
        <v>28</v>
      </c>
      <c r="G15" s="116">
        <v>16</v>
      </c>
      <c r="H15" s="116">
        <v>5</v>
      </c>
      <c r="I15" s="116">
        <v>3</v>
      </c>
      <c r="J15" s="116">
        <v>1491</v>
      </c>
      <c r="K15" s="116">
        <f t="shared" si="0"/>
        <v>1643</v>
      </c>
    </row>
    <row r="16" spans="1:11" s="109" customFormat="1" ht="15.75" customHeight="1">
      <c r="A16" s="115" t="s">
        <v>19</v>
      </c>
      <c r="B16" s="115">
        <f t="shared" ref="B16:J16" si="1">SUM(B4:B15)</f>
        <v>2</v>
      </c>
      <c r="C16" s="115">
        <f t="shared" si="1"/>
        <v>391</v>
      </c>
      <c r="D16" s="115">
        <f t="shared" si="1"/>
        <v>8332</v>
      </c>
      <c r="E16" s="115">
        <f t="shared" si="1"/>
        <v>9049</v>
      </c>
      <c r="F16" s="115">
        <f t="shared" si="1"/>
        <v>5818</v>
      </c>
      <c r="G16" s="115">
        <f t="shared" si="1"/>
        <v>1918</v>
      </c>
      <c r="H16" s="115">
        <f t="shared" si="1"/>
        <v>354</v>
      </c>
      <c r="I16" s="115">
        <f t="shared" si="1"/>
        <v>140</v>
      </c>
      <c r="J16" s="115">
        <f t="shared" si="1"/>
        <v>2008</v>
      </c>
      <c r="K16" s="115">
        <f t="shared" si="0"/>
        <v>28012</v>
      </c>
    </row>
    <row r="17" spans="1:11" ht="15.75">
      <c r="A17" s="448" t="s">
        <v>179</v>
      </c>
      <c r="B17" s="448"/>
      <c r="C17" s="448"/>
      <c r="D17" s="448"/>
      <c r="E17" s="118"/>
      <c r="F17" s="118"/>
      <c r="G17" s="118"/>
      <c r="H17" s="118"/>
      <c r="I17" s="118"/>
      <c r="J17" s="118"/>
      <c r="K17" s="118"/>
    </row>
    <row r="19" spans="1:11" ht="21" customHeight="1">
      <c r="A19" s="459" t="s">
        <v>535</v>
      </c>
      <c r="B19" s="459"/>
      <c r="C19" s="459"/>
      <c r="D19" s="459"/>
      <c r="E19" s="459"/>
      <c r="F19" s="459"/>
      <c r="G19" s="459"/>
      <c r="H19" s="459"/>
      <c r="I19" s="459"/>
      <c r="J19" s="459"/>
      <c r="K19" s="459"/>
    </row>
    <row r="20" spans="1:11" ht="15.75">
      <c r="A20" s="454" t="s">
        <v>146</v>
      </c>
      <c r="B20" s="456" t="s">
        <v>186</v>
      </c>
      <c r="C20" s="457"/>
      <c r="D20" s="457"/>
      <c r="E20" s="457"/>
      <c r="F20" s="457"/>
      <c r="G20" s="457"/>
      <c r="H20" s="457"/>
      <c r="I20" s="457"/>
      <c r="J20" s="457"/>
      <c r="K20" s="458"/>
    </row>
    <row r="21" spans="1:11" ht="31.5">
      <c r="A21" s="455"/>
      <c r="B21" s="117" t="s">
        <v>184</v>
      </c>
      <c r="C21" s="117" t="s">
        <v>51</v>
      </c>
      <c r="D21" s="117" t="s">
        <v>52</v>
      </c>
      <c r="E21" s="117" t="s">
        <v>53</v>
      </c>
      <c r="F21" s="117" t="s">
        <v>54</v>
      </c>
      <c r="G21" s="117" t="s">
        <v>55</v>
      </c>
      <c r="H21" s="117" t="s">
        <v>56</v>
      </c>
      <c r="I21" s="117" t="s">
        <v>183</v>
      </c>
      <c r="J21" s="117" t="s">
        <v>182</v>
      </c>
      <c r="K21" s="117" t="s">
        <v>185</v>
      </c>
    </row>
    <row r="22" spans="1:11" ht="15.75">
      <c r="A22" s="116">
        <v>1</v>
      </c>
      <c r="B22" s="116">
        <v>0</v>
      </c>
      <c r="C22" s="116">
        <v>181</v>
      </c>
      <c r="D22" s="116">
        <v>5232</v>
      </c>
      <c r="E22" s="116">
        <v>2907</v>
      </c>
      <c r="F22" s="116">
        <v>5033</v>
      </c>
      <c r="G22" s="116">
        <v>314</v>
      </c>
      <c r="H22" s="116">
        <v>56</v>
      </c>
      <c r="I22" s="116">
        <v>7</v>
      </c>
      <c r="J22" s="116">
        <v>145</v>
      </c>
      <c r="K22" s="116">
        <v>13875</v>
      </c>
    </row>
    <row r="23" spans="1:11" ht="15.75">
      <c r="A23" s="116">
        <v>2</v>
      </c>
      <c r="B23" s="116">
        <v>0</v>
      </c>
      <c r="C23" s="116">
        <v>50</v>
      </c>
      <c r="D23" s="116">
        <v>1818</v>
      </c>
      <c r="E23" s="116">
        <v>3173</v>
      </c>
      <c r="F23" s="116">
        <v>1531</v>
      </c>
      <c r="G23" s="116">
        <v>463</v>
      </c>
      <c r="H23" s="116">
        <v>69</v>
      </c>
      <c r="I23" s="116">
        <v>6</v>
      </c>
      <c r="J23" s="116">
        <v>236</v>
      </c>
      <c r="K23" s="116">
        <v>7346</v>
      </c>
    </row>
    <row r="24" spans="1:11" ht="15.75">
      <c r="A24" s="116">
        <v>3</v>
      </c>
      <c r="B24" s="116">
        <v>0</v>
      </c>
      <c r="C24" s="116">
        <v>24</v>
      </c>
      <c r="D24" s="116">
        <v>621</v>
      </c>
      <c r="E24" s="116">
        <v>2311</v>
      </c>
      <c r="F24" s="116">
        <v>1488</v>
      </c>
      <c r="G24" s="116">
        <v>447</v>
      </c>
      <c r="H24" s="116">
        <v>71</v>
      </c>
      <c r="I24" s="116">
        <v>18</v>
      </c>
      <c r="J24" s="116">
        <v>209</v>
      </c>
      <c r="K24" s="116">
        <v>5189</v>
      </c>
    </row>
    <row r="25" spans="1:11" ht="15.75">
      <c r="A25" s="116">
        <v>4</v>
      </c>
      <c r="B25" s="116">
        <v>0</v>
      </c>
      <c r="C25" s="116">
        <v>22</v>
      </c>
      <c r="D25" s="116">
        <v>292</v>
      </c>
      <c r="E25" s="116">
        <v>1132</v>
      </c>
      <c r="F25" s="116">
        <v>960</v>
      </c>
      <c r="G25" s="116">
        <v>384</v>
      </c>
      <c r="H25" s="116">
        <v>65</v>
      </c>
      <c r="I25" s="116">
        <v>17</v>
      </c>
      <c r="J25" s="116">
        <v>142</v>
      </c>
      <c r="K25" s="116">
        <v>3014</v>
      </c>
    </row>
    <row r="26" spans="1:11" ht="15.75">
      <c r="A26" s="116">
        <v>5</v>
      </c>
      <c r="B26" s="116">
        <v>1</v>
      </c>
      <c r="C26" s="116">
        <v>8</v>
      </c>
      <c r="D26" s="116">
        <v>184</v>
      </c>
      <c r="E26" s="116">
        <v>505</v>
      </c>
      <c r="F26" s="116">
        <v>529</v>
      </c>
      <c r="G26" s="116">
        <v>288</v>
      </c>
      <c r="H26" s="116">
        <v>62</v>
      </c>
      <c r="I26" s="116">
        <v>21</v>
      </c>
      <c r="J26" s="116">
        <v>147</v>
      </c>
      <c r="K26" s="116">
        <v>1745</v>
      </c>
    </row>
    <row r="27" spans="1:11" ht="15.75">
      <c r="A27" s="116">
        <v>6</v>
      </c>
      <c r="B27" s="116">
        <v>0</v>
      </c>
      <c r="C27" s="116">
        <v>4</v>
      </c>
      <c r="D27" s="116">
        <v>83</v>
      </c>
      <c r="E27" s="116">
        <v>207</v>
      </c>
      <c r="F27" s="116">
        <v>247</v>
      </c>
      <c r="G27" s="116">
        <v>195</v>
      </c>
      <c r="H27" s="116">
        <v>49</v>
      </c>
      <c r="I27" s="116">
        <v>16</v>
      </c>
      <c r="J27" s="116">
        <v>93</v>
      </c>
      <c r="K27" s="116">
        <v>894</v>
      </c>
    </row>
    <row r="28" spans="1:11" ht="15.75">
      <c r="A28" s="116">
        <v>7</v>
      </c>
      <c r="B28" s="116">
        <v>0</v>
      </c>
      <c r="C28" s="116">
        <v>3</v>
      </c>
      <c r="D28" s="116">
        <v>31</v>
      </c>
      <c r="E28" s="116">
        <v>84</v>
      </c>
      <c r="F28" s="116">
        <v>136</v>
      </c>
      <c r="G28" s="116">
        <v>136</v>
      </c>
      <c r="H28" s="116">
        <v>33</v>
      </c>
      <c r="I28" s="116">
        <v>12</v>
      </c>
      <c r="J28" s="116">
        <v>35</v>
      </c>
      <c r="K28" s="116">
        <v>470</v>
      </c>
    </row>
    <row r="29" spans="1:11" ht="15.75">
      <c r="A29" s="116">
        <v>8</v>
      </c>
      <c r="B29" s="116">
        <v>0</v>
      </c>
      <c r="C29" s="116">
        <v>2</v>
      </c>
      <c r="D29" s="116">
        <v>14</v>
      </c>
      <c r="E29" s="116">
        <v>47</v>
      </c>
      <c r="F29" s="116">
        <v>67</v>
      </c>
      <c r="G29" s="116">
        <v>82</v>
      </c>
      <c r="H29" s="116">
        <v>24</v>
      </c>
      <c r="I29" s="116">
        <v>8</v>
      </c>
      <c r="J29" s="116">
        <v>38</v>
      </c>
      <c r="K29" s="116">
        <v>282</v>
      </c>
    </row>
    <row r="30" spans="1:11" ht="15.75">
      <c r="A30" s="116">
        <v>9</v>
      </c>
      <c r="B30" s="116">
        <v>0</v>
      </c>
      <c r="C30" s="116">
        <v>0</v>
      </c>
      <c r="D30" s="116">
        <v>12</v>
      </c>
      <c r="E30" s="116">
        <v>16</v>
      </c>
      <c r="F30" s="116">
        <v>33</v>
      </c>
      <c r="G30" s="116">
        <v>35</v>
      </c>
      <c r="H30" s="116">
        <v>16</v>
      </c>
      <c r="I30" s="116">
        <v>2</v>
      </c>
      <c r="J30" s="116">
        <v>21</v>
      </c>
      <c r="K30" s="116">
        <v>135</v>
      </c>
    </row>
    <row r="31" spans="1:11" ht="15.75">
      <c r="A31" s="116">
        <v>10</v>
      </c>
      <c r="B31" s="116">
        <v>0</v>
      </c>
      <c r="C31" s="116">
        <v>0</v>
      </c>
      <c r="D31" s="116">
        <v>3</v>
      </c>
      <c r="E31" s="116">
        <v>8</v>
      </c>
      <c r="F31" s="116">
        <v>14</v>
      </c>
      <c r="G31" s="116">
        <v>12</v>
      </c>
      <c r="H31" s="116">
        <v>8</v>
      </c>
      <c r="I31" s="116">
        <v>4</v>
      </c>
      <c r="J31" s="116">
        <v>4</v>
      </c>
      <c r="K31" s="116">
        <v>53</v>
      </c>
    </row>
    <row r="32" spans="1:11" ht="15.75">
      <c r="A32" s="117" t="s">
        <v>149</v>
      </c>
      <c r="B32" s="116">
        <v>0</v>
      </c>
      <c r="C32" s="116">
        <v>0</v>
      </c>
      <c r="D32" s="116">
        <v>1</v>
      </c>
      <c r="E32" s="116">
        <v>2</v>
      </c>
      <c r="F32" s="116">
        <v>7</v>
      </c>
      <c r="G32" s="116">
        <v>10</v>
      </c>
      <c r="H32" s="116">
        <v>6</v>
      </c>
      <c r="I32" s="116">
        <v>5</v>
      </c>
      <c r="J32" s="116">
        <v>6</v>
      </c>
      <c r="K32" s="116">
        <v>37</v>
      </c>
    </row>
    <row r="33" spans="1:13" ht="15.75">
      <c r="A33" s="117" t="s">
        <v>150</v>
      </c>
      <c r="B33" s="116">
        <v>0</v>
      </c>
      <c r="C33" s="116">
        <v>9</v>
      </c>
      <c r="D33" s="116">
        <v>59</v>
      </c>
      <c r="E33" s="116">
        <v>89</v>
      </c>
      <c r="F33" s="116">
        <v>65</v>
      </c>
      <c r="G33" s="116">
        <v>19</v>
      </c>
      <c r="H33" s="116">
        <v>11</v>
      </c>
      <c r="I33" s="116">
        <v>4</v>
      </c>
      <c r="J33" s="116">
        <v>1319</v>
      </c>
      <c r="K33" s="116">
        <v>1575</v>
      </c>
    </row>
    <row r="34" spans="1:13" ht="15.75">
      <c r="A34" s="115" t="s">
        <v>19</v>
      </c>
      <c r="B34" s="115">
        <v>1</v>
      </c>
      <c r="C34" s="115">
        <f t="shared" ref="C34:K34" si="2">SUM(C22:C33)</f>
        <v>303</v>
      </c>
      <c r="D34" s="115">
        <f t="shared" si="2"/>
        <v>8350</v>
      </c>
      <c r="E34" s="115">
        <f t="shared" si="2"/>
        <v>10481</v>
      </c>
      <c r="F34" s="115">
        <f t="shared" si="2"/>
        <v>10110</v>
      </c>
      <c r="G34" s="115">
        <f t="shared" si="2"/>
        <v>2385</v>
      </c>
      <c r="H34" s="115">
        <f t="shared" si="2"/>
        <v>470</v>
      </c>
      <c r="I34" s="115">
        <f t="shared" si="2"/>
        <v>120</v>
      </c>
      <c r="J34" s="115">
        <f t="shared" si="2"/>
        <v>2395</v>
      </c>
      <c r="K34" s="115">
        <f t="shared" si="2"/>
        <v>34615</v>
      </c>
    </row>
    <row r="35" spans="1:13" ht="15.75">
      <c r="A35" s="448" t="s">
        <v>179</v>
      </c>
      <c r="B35" s="448"/>
      <c r="C35" s="448"/>
      <c r="D35" s="448"/>
      <c r="E35" s="118"/>
      <c r="F35" s="118"/>
      <c r="G35" s="118"/>
      <c r="H35" s="118"/>
      <c r="I35" s="118"/>
      <c r="J35" s="118"/>
      <c r="K35" s="118"/>
    </row>
    <row r="36" spans="1:13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</row>
    <row r="37" spans="1:13" ht="26.25" customHeight="1">
      <c r="A37" s="459" t="s">
        <v>536</v>
      </c>
      <c r="B37" s="459"/>
      <c r="C37" s="459"/>
      <c r="D37" s="459"/>
      <c r="E37" s="459"/>
      <c r="F37" s="459"/>
      <c r="G37" s="459"/>
      <c r="H37" s="459"/>
      <c r="I37" s="459"/>
      <c r="J37" s="459"/>
      <c r="K37" s="459"/>
      <c r="L37" s="247"/>
      <c r="M37" s="247"/>
    </row>
    <row r="38" spans="1:13" ht="15.75">
      <c r="A38" s="449" t="s">
        <v>146</v>
      </c>
      <c r="B38" s="451" t="s">
        <v>186</v>
      </c>
      <c r="C38" s="452"/>
      <c r="D38" s="452"/>
      <c r="E38" s="452"/>
      <c r="F38" s="452"/>
      <c r="G38" s="452"/>
      <c r="H38" s="452"/>
      <c r="I38" s="452"/>
      <c r="J38" s="452"/>
      <c r="K38" s="453"/>
    </row>
    <row r="39" spans="1:13" ht="31.5">
      <c r="A39" s="450"/>
      <c r="B39" s="245" t="s">
        <v>184</v>
      </c>
      <c r="C39" s="245" t="s">
        <v>51</v>
      </c>
      <c r="D39" s="245" t="s">
        <v>52</v>
      </c>
      <c r="E39" s="245" t="s">
        <v>53</v>
      </c>
      <c r="F39" s="245" t="s">
        <v>54</v>
      </c>
      <c r="G39" s="245" t="s">
        <v>55</v>
      </c>
      <c r="H39" s="245" t="s">
        <v>56</v>
      </c>
      <c r="I39" s="245" t="s">
        <v>183</v>
      </c>
      <c r="J39" s="245" t="s">
        <v>182</v>
      </c>
      <c r="K39" s="245" t="s">
        <v>185</v>
      </c>
    </row>
    <row r="40" spans="1:13" ht="15.75">
      <c r="A40" s="135">
        <v>1</v>
      </c>
      <c r="B40" s="135">
        <v>1</v>
      </c>
      <c r="C40" s="135">
        <f>345+38+35</f>
        <v>418</v>
      </c>
      <c r="D40" s="135">
        <f>2229+265+50</f>
        <v>2544</v>
      </c>
      <c r="E40" s="135">
        <f>2338+190+84</f>
        <v>2612</v>
      </c>
      <c r="F40" s="135">
        <f>1178+194</f>
        <v>1372</v>
      </c>
      <c r="G40" s="135">
        <f>340+85</f>
        <v>425</v>
      </c>
      <c r="H40" s="135">
        <f>57+11</f>
        <v>68</v>
      </c>
      <c r="I40" s="135">
        <f>16+3</f>
        <v>19</v>
      </c>
      <c r="J40" s="135">
        <f>105+5</f>
        <v>110</v>
      </c>
      <c r="K40" s="135">
        <f t="shared" ref="K40:K52" si="3">SUM(B40:J40)</f>
        <v>7569</v>
      </c>
    </row>
    <row r="41" spans="1:13" ht="15.75">
      <c r="A41" s="135">
        <v>2</v>
      </c>
      <c r="B41" s="135">
        <v>0</v>
      </c>
      <c r="C41" s="135">
        <f>75+5</f>
        <v>80</v>
      </c>
      <c r="D41" s="135">
        <f>1533+175</f>
        <v>1708</v>
      </c>
      <c r="E41" s="135">
        <f>2924+204</f>
        <v>3128</v>
      </c>
      <c r="F41" s="135">
        <f>1863+158</f>
        <v>2021</v>
      </c>
      <c r="G41" s="135">
        <f>531+92</f>
        <v>623</v>
      </c>
      <c r="H41" s="135">
        <f>85+20</f>
        <v>105</v>
      </c>
      <c r="I41" s="135">
        <f>17+3</f>
        <v>20</v>
      </c>
      <c r="J41" s="135">
        <v>167</v>
      </c>
      <c r="K41" s="135">
        <f t="shared" si="3"/>
        <v>7852</v>
      </c>
    </row>
    <row r="42" spans="1:13" ht="15.75">
      <c r="A42" s="135">
        <v>3</v>
      </c>
      <c r="B42" s="135">
        <v>0</v>
      </c>
      <c r="C42" s="135">
        <v>0</v>
      </c>
      <c r="D42" s="135">
        <f>740+32</f>
        <v>772</v>
      </c>
      <c r="E42" s="135">
        <f>2018+96</f>
        <v>2114</v>
      </c>
      <c r="F42" s="135">
        <f>2008+82</f>
        <v>2090</v>
      </c>
      <c r="G42" s="135">
        <f>536+51</f>
        <v>587</v>
      </c>
      <c r="H42" s="135">
        <f>96+16</f>
        <v>112</v>
      </c>
      <c r="I42" s="135">
        <v>24</v>
      </c>
      <c r="J42" s="135">
        <v>155</v>
      </c>
      <c r="K42" s="135">
        <f t="shared" si="3"/>
        <v>5854</v>
      </c>
    </row>
    <row r="43" spans="1:13" ht="15.75">
      <c r="A43" s="135">
        <v>4</v>
      </c>
      <c r="B43" s="135">
        <v>0</v>
      </c>
      <c r="C43" s="135">
        <v>0</v>
      </c>
      <c r="D43" s="135">
        <f>372+5</f>
        <v>377</v>
      </c>
      <c r="E43" s="135">
        <f>1028+52</f>
        <v>1080</v>
      </c>
      <c r="F43" s="135">
        <f>1005+29</f>
        <v>1034</v>
      </c>
      <c r="G43" s="135">
        <f>469+25</f>
        <v>494</v>
      </c>
      <c r="H43" s="135">
        <f>88+8</f>
        <v>96</v>
      </c>
      <c r="I43" s="135">
        <v>27</v>
      </c>
      <c r="J43" s="135">
        <v>96</v>
      </c>
      <c r="K43" s="135">
        <f t="shared" si="3"/>
        <v>3204</v>
      </c>
    </row>
    <row r="44" spans="1:13" ht="15.75">
      <c r="A44" s="135">
        <v>5</v>
      </c>
      <c r="B44" s="135">
        <v>0</v>
      </c>
      <c r="C44" s="135">
        <v>0</v>
      </c>
      <c r="D44" s="135">
        <f>224+2</f>
        <v>226</v>
      </c>
      <c r="E44" s="135">
        <f>511+30</f>
        <v>541</v>
      </c>
      <c r="F44" s="135">
        <f>583+18</f>
        <v>601</v>
      </c>
      <c r="G44" s="135">
        <f>322+12</f>
        <v>334</v>
      </c>
      <c r="H44" s="135">
        <f>75+2</f>
        <v>77</v>
      </c>
      <c r="I44" s="135">
        <f>31+3</f>
        <v>34</v>
      </c>
      <c r="J44" s="135">
        <v>78</v>
      </c>
      <c r="K44" s="135">
        <f t="shared" si="3"/>
        <v>1891</v>
      </c>
    </row>
    <row r="45" spans="1:13" ht="15.75">
      <c r="A45" s="135">
        <v>6</v>
      </c>
      <c r="B45" s="135">
        <v>0</v>
      </c>
      <c r="C45" s="135">
        <v>0</v>
      </c>
      <c r="D45" s="135">
        <v>1</v>
      </c>
      <c r="E45" s="135">
        <f>197+16</f>
        <v>213</v>
      </c>
      <c r="F45" s="135">
        <f>306+16</f>
        <v>322</v>
      </c>
      <c r="G45" s="135">
        <f>201+6</f>
        <v>207</v>
      </c>
      <c r="H45" s="135">
        <f>53+1</f>
        <v>54</v>
      </c>
      <c r="I45" s="135">
        <v>14</v>
      </c>
      <c r="J45" s="135">
        <v>44</v>
      </c>
      <c r="K45" s="135">
        <f t="shared" si="3"/>
        <v>855</v>
      </c>
    </row>
    <row r="46" spans="1:13" ht="15.75">
      <c r="A46" s="135">
        <v>7</v>
      </c>
      <c r="B46" s="135">
        <v>0</v>
      </c>
      <c r="C46" s="135">
        <v>0</v>
      </c>
      <c r="D46" s="135">
        <v>0</v>
      </c>
      <c r="E46" s="135">
        <f>108+1</f>
        <v>109</v>
      </c>
      <c r="F46" s="135">
        <f>121+4</f>
        <v>125</v>
      </c>
      <c r="G46" s="135">
        <f>131+4</f>
        <v>135</v>
      </c>
      <c r="H46" s="135">
        <f>34+2</f>
        <v>36</v>
      </c>
      <c r="I46" s="135">
        <v>17</v>
      </c>
      <c r="J46" s="135">
        <v>24</v>
      </c>
      <c r="K46" s="135">
        <f t="shared" si="3"/>
        <v>446</v>
      </c>
    </row>
    <row r="47" spans="1:13" ht="15.75">
      <c r="A47" s="135">
        <v>8</v>
      </c>
      <c r="B47" s="135">
        <v>0</v>
      </c>
      <c r="C47" s="135">
        <v>0</v>
      </c>
      <c r="D47" s="135">
        <v>0</v>
      </c>
      <c r="E47" s="135">
        <v>3</v>
      </c>
      <c r="F47" s="135">
        <v>4</v>
      </c>
      <c r="G47" s="135">
        <f>84+1</f>
        <v>85</v>
      </c>
      <c r="H47" s="135">
        <v>20</v>
      </c>
      <c r="I47" s="135">
        <v>11</v>
      </c>
      <c r="J47" s="135">
        <v>18</v>
      </c>
      <c r="K47" s="135">
        <f t="shared" si="3"/>
        <v>141</v>
      </c>
    </row>
    <row r="48" spans="1:13" ht="15.75">
      <c r="A48" s="135">
        <v>9</v>
      </c>
      <c r="B48" s="135">
        <v>0</v>
      </c>
      <c r="C48" s="135">
        <v>0</v>
      </c>
      <c r="D48" s="135">
        <v>0</v>
      </c>
      <c r="E48" s="135">
        <v>0</v>
      </c>
      <c r="F48" s="135">
        <v>2</v>
      </c>
      <c r="G48" s="135">
        <v>35</v>
      </c>
      <c r="H48" s="135">
        <v>17</v>
      </c>
      <c r="I48" s="135">
        <v>7</v>
      </c>
      <c r="J48" s="135">
        <v>11</v>
      </c>
      <c r="K48" s="135">
        <f t="shared" si="3"/>
        <v>72</v>
      </c>
    </row>
    <row r="49" spans="1:11" ht="15.75">
      <c r="A49" s="135">
        <v>10</v>
      </c>
      <c r="B49" s="135">
        <v>0</v>
      </c>
      <c r="C49" s="135">
        <v>0</v>
      </c>
      <c r="D49" s="135">
        <v>0</v>
      </c>
      <c r="E49" s="135">
        <v>0</v>
      </c>
      <c r="F49" s="135">
        <v>0</v>
      </c>
      <c r="G49" s="135">
        <v>15</v>
      </c>
      <c r="H49" s="135">
        <v>8</v>
      </c>
      <c r="I49" s="135">
        <v>3</v>
      </c>
      <c r="J49" s="135">
        <v>4</v>
      </c>
      <c r="K49" s="135">
        <f t="shared" si="3"/>
        <v>30</v>
      </c>
    </row>
    <row r="50" spans="1:11" ht="15.75">
      <c r="A50" s="246" t="s">
        <v>149</v>
      </c>
      <c r="B50" s="135">
        <v>0</v>
      </c>
      <c r="C50" s="135">
        <v>0</v>
      </c>
      <c r="D50" s="135">
        <v>0</v>
      </c>
      <c r="E50" s="135">
        <v>0</v>
      </c>
      <c r="F50" s="135">
        <v>0</v>
      </c>
      <c r="G50" s="135">
        <v>6</v>
      </c>
      <c r="H50" s="135">
        <v>2</v>
      </c>
      <c r="I50" s="135">
        <v>1</v>
      </c>
      <c r="J50" s="135">
        <v>3</v>
      </c>
      <c r="K50" s="135">
        <f t="shared" si="3"/>
        <v>12</v>
      </c>
    </row>
    <row r="51" spans="1:11" ht="15.75">
      <c r="A51" s="246" t="s">
        <v>150</v>
      </c>
      <c r="B51" s="135">
        <v>0</v>
      </c>
      <c r="C51" s="135">
        <v>8</v>
      </c>
      <c r="D51" s="135">
        <v>75</v>
      </c>
      <c r="E51" s="135">
        <f>103+19+9+4+45-3</f>
        <v>177</v>
      </c>
      <c r="F51" s="135">
        <f>88+16+5+5</f>
        <v>114</v>
      </c>
      <c r="G51" s="135">
        <f>26</f>
        <v>26</v>
      </c>
      <c r="H51" s="135">
        <v>5</v>
      </c>
      <c r="I51" s="135">
        <v>12</v>
      </c>
      <c r="J51" s="135">
        <v>759</v>
      </c>
      <c r="K51" s="135">
        <f t="shared" si="3"/>
        <v>1176</v>
      </c>
    </row>
    <row r="52" spans="1:11" ht="15.75">
      <c r="A52" s="154" t="s">
        <v>19</v>
      </c>
      <c r="B52" s="154">
        <f t="shared" ref="B52:J52" si="4">SUM(B40:B51)</f>
        <v>1</v>
      </c>
      <c r="C52" s="154">
        <f t="shared" si="4"/>
        <v>506</v>
      </c>
      <c r="D52" s="154">
        <f t="shared" si="4"/>
        <v>5703</v>
      </c>
      <c r="E52" s="154">
        <f t="shared" si="4"/>
        <v>9977</v>
      </c>
      <c r="F52" s="154">
        <f t="shared" si="4"/>
        <v>7685</v>
      </c>
      <c r="G52" s="154">
        <f t="shared" si="4"/>
        <v>2972</v>
      </c>
      <c r="H52" s="154">
        <f t="shared" si="4"/>
        <v>600</v>
      </c>
      <c r="I52" s="154">
        <f t="shared" si="4"/>
        <v>189</v>
      </c>
      <c r="J52" s="154">
        <f t="shared" si="4"/>
        <v>1469</v>
      </c>
      <c r="K52" s="154">
        <f t="shared" si="3"/>
        <v>29102</v>
      </c>
    </row>
    <row r="53" spans="1:11" ht="15.75">
      <c r="A53" s="448" t="s">
        <v>179</v>
      </c>
      <c r="B53" s="448"/>
      <c r="C53" s="448"/>
      <c r="D53" s="448"/>
    </row>
  </sheetData>
  <mergeCells count="12">
    <mergeCell ref="A53:D53"/>
    <mergeCell ref="A2:A3"/>
    <mergeCell ref="B2:K2"/>
    <mergeCell ref="A1:K1"/>
    <mergeCell ref="A19:K19"/>
    <mergeCell ref="A20:A21"/>
    <mergeCell ref="B20:K20"/>
    <mergeCell ref="A37:K37"/>
    <mergeCell ref="A38:A39"/>
    <mergeCell ref="B38:K38"/>
    <mergeCell ref="A35:D35"/>
    <mergeCell ref="A17:D17"/>
  </mergeCells>
  <pageMargins left="0.9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4"/>
  <dimension ref="A1:R48"/>
  <sheetViews>
    <sheetView topLeftCell="A7" workbookViewId="0">
      <selection activeCell="E24" sqref="E24"/>
    </sheetView>
  </sheetViews>
  <sheetFormatPr defaultColWidth="9.140625" defaultRowHeight="13.5"/>
  <cols>
    <col min="1" max="1" width="6.28515625" style="169" customWidth="1"/>
    <col min="2" max="2" width="9.7109375" style="169" customWidth="1"/>
    <col min="3" max="3" width="33.42578125" style="182" customWidth="1"/>
    <col min="4" max="4" width="6.42578125" style="153" customWidth="1"/>
    <col min="5" max="5" width="9.5703125" style="153" customWidth="1"/>
    <col min="6" max="7" width="7.7109375" style="153" customWidth="1"/>
    <col min="8" max="8" width="8" style="183" customWidth="1"/>
    <col min="9" max="9" width="7.85546875" style="153" customWidth="1"/>
    <col min="10" max="10" width="6.85546875" style="184" customWidth="1"/>
    <col min="11" max="11" width="7.7109375" style="153" customWidth="1"/>
    <col min="12" max="13" width="8.28515625" style="153" customWidth="1"/>
    <col min="14" max="14" width="8.42578125" style="153" customWidth="1"/>
    <col min="15" max="15" width="7.5703125" style="153" customWidth="1"/>
    <col min="16" max="16" width="8.140625" style="153" customWidth="1"/>
    <col min="17" max="16384" width="9.140625" style="169"/>
  </cols>
  <sheetData>
    <row r="1" spans="1:18" ht="22.5" customHeight="1">
      <c r="A1" s="460" t="s">
        <v>537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2"/>
    </row>
    <row r="2" spans="1:18" s="170" customFormat="1" ht="68.45" customHeight="1">
      <c r="A2" s="189" t="s">
        <v>280</v>
      </c>
      <c r="B2" s="190" t="s">
        <v>281</v>
      </c>
      <c r="C2" s="190" t="s">
        <v>282</v>
      </c>
      <c r="D2" s="191" t="s">
        <v>159</v>
      </c>
      <c r="E2" s="191" t="s">
        <v>283</v>
      </c>
      <c r="F2" s="191" t="s">
        <v>284</v>
      </c>
      <c r="G2" s="191" t="s">
        <v>285</v>
      </c>
      <c r="H2" s="191" t="s">
        <v>286</v>
      </c>
      <c r="I2" s="191" t="s">
        <v>287</v>
      </c>
      <c r="J2" s="191" t="s">
        <v>288</v>
      </c>
      <c r="K2" s="191" t="s">
        <v>289</v>
      </c>
      <c r="L2" s="191" t="s">
        <v>290</v>
      </c>
      <c r="M2" s="191" t="s">
        <v>291</v>
      </c>
      <c r="N2" s="191" t="s">
        <v>292</v>
      </c>
      <c r="O2" s="191" t="s">
        <v>293</v>
      </c>
      <c r="P2" s="192" t="s">
        <v>19</v>
      </c>
    </row>
    <row r="3" spans="1:18" s="172" customFormat="1" ht="15.75">
      <c r="A3" s="323">
        <v>1</v>
      </c>
      <c r="B3" s="194" t="s">
        <v>294</v>
      </c>
      <c r="C3" s="195" t="s">
        <v>295</v>
      </c>
      <c r="D3" s="196" t="s">
        <v>8</v>
      </c>
      <c r="E3" s="197">
        <v>0</v>
      </c>
      <c r="F3" s="197">
        <v>5</v>
      </c>
      <c r="G3" s="197">
        <v>1</v>
      </c>
      <c r="H3" s="197">
        <v>7</v>
      </c>
      <c r="I3" s="197">
        <v>30</v>
      </c>
      <c r="J3" s="197">
        <v>0</v>
      </c>
      <c r="K3" s="197">
        <v>43</v>
      </c>
      <c r="L3" s="197">
        <v>0</v>
      </c>
      <c r="M3" s="197">
        <v>0</v>
      </c>
      <c r="N3" s="197">
        <v>14</v>
      </c>
      <c r="O3" s="197">
        <v>0</v>
      </c>
      <c r="P3" s="198">
        <f t="shared" ref="P3:P18" si="0">SUM(E3:O3)</f>
        <v>100</v>
      </c>
      <c r="Q3" s="171"/>
      <c r="R3" s="171"/>
    </row>
    <row r="4" spans="1:18" s="172" customFormat="1" ht="19.149999999999999" customHeight="1">
      <c r="A4" s="324"/>
      <c r="B4" s="200"/>
      <c r="C4" s="201"/>
      <c r="D4" s="196" t="s">
        <v>7</v>
      </c>
      <c r="E4" s="197">
        <v>0</v>
      </c>
      <c r="F4" s="197">
        <v>0</v>
      </c>
      <c r="G4" s="197">
        <v>0</v>
      </c>
      <c r="H4" s="197">
        <v>0</v>
      </c>
      <c r="I4" s="197">
        <v>18</v>
      </c>
      <c r="J4" s="197">
        <v>0</v>
      </c>
      <c r="K4" s="197">
        <v>0</v>
      </c>
      <c r="L4" s="197">
        <v>0</v>
      </c>
      <c r="M4" s="197">
        <v>0</v>
      </c>
      <c r="N4" s="197">
        <v>10</v>
      </c>
      <c r="O4" s="197">
        <v>0</v>
      </c>
      <c r="P4" s="198">
        <f t="shared" si="0"/>
        <v>28</v>
      </c>
      <c r="Q4" s="171"/>
      <c r="R4" s="171"/>
    </row>
    <row r="5" spans="1:18" s="175" customFormat="1" ht="15.75">
      <c r="A5" s="193">
        <v>2</v>
      </c>
      <c r="B5" s="194" t="s">
        <v>296</v>
      </c>
      <c r="C5" s="195" t="s">
        <v>297</v>
      </c>
      <c r="D5" s="197" t="s">
        <v>8</v>
      </c>
      <c r="E5" s="197">
        <v>0</v>
      </c>
      <c r="F5" s="197">
        <v>0</v>
      </c>
      <c r="G5" s="197">
        <v>1</v>
      </c>
      <c r="H5" s="197">
        <v>1</v>
      </c>
      <c r="I5" s="197">
        <v>1</v>
      </c>
      <c r="J5" s="197">
        <v>4</v>
      </c>
      <c r="K5" s="197">
        <v>4</v>
      </c>
      <c r="L5" s="197">
        <v>5</v>
      </c>
      <c r="M5" s="197">
        <v>3</v>
      </c>
      <c r="N5" s="197">
        <v>3</v>
      </c>
      <c r="O5" s="197">
        <v>1</v>
      </c>
      <c r="P5" s="198">
        <f t="shared" si="0"/>
        <v>23</v>
      </c>
      <c r="Q5" s="174"/>
      <c r="R5" s="174"/>
    </row>
    <row r="6" spans="1:18" s="178" customFormat="1" ht="15.75" customHeight="1">
      <c r="A6" s="199"/>
      <c r="B6" s="200"/>
      <c r="C6" s="201"/>
      <c r="D6" s="196" t="s">
        <v>7</v>
      </c>
      <c r="E6" s="197">
        <v>0</v>
      </c>
      <c r="F6" s="197">
        <v>0</v>
      </c>
      <c r="G6" s="197">
        <v>0</v>
      </c>
      <c r="H6" s="197">
        <v>0</v>
      </c>
      <c r="I6" s="197">
        <v>2</v>
      </c>
      <c r="J6" s="197">
        <v>0</v>
      </c>
      <c r="K6" s="197">
        <v>3</v>
      </c>
      <c r="L6" s="197">
        <v>3</v>
      </c>
      <c r="M6" s="197">
        <v>2</v>
      </c>
      <c r="N6" s="197">
        <v>0</v>
      </c>
      <c r="O6" s="197">
        <v>1</v>
      </c>
      <c r="P6" s="198">
        <f t="shared" si="0"/>
        <v>11</v>
      </c>
      <c r="Q6" s="177"/>
      <c r="R6" s="177"/>
    </row>
    <row r="7" spans="1:18" s="172" customFormat="1" ht="47.25">
      <c r="A7" s="193">
        <v>3</v>
      </c>
      <c r="B7" s="202" t="s">
        <v>298</v>
      </c>
      <c r="C7" s="203" t="s">
        <v>299</v>
      </c>
      <c r="D7" s="196" t="s">
        <v>8</v>
      </c>
      <c r="E7" s="197">
        <v>0</v>
      </c>
      <c r="F7" s="197">
        <v>3</v>
      </c>
      <c r="G7" s="197">
        <v>0</v>
      </c>
      <c r="H7" s="197">
        <v>2</v>
      </c>
      <c r="I7" s="197">
        <v>1</v>
      </c>
      <c r="J7" s="197">
        <v>1</v>
      </c>
      <c r="K7" s="197">
        <v>1</v>
      </c>
      <c r="L7" s="197">
        <v>0</v>
      </c>
      <c r="M7" s="197">
        <v>1</v>
      </c>
      <c r="N7" s="197">
        <v>3</v>
      </c>
      <c r="O7" s="197">
        <v>3</v>
      </c>
      <c r="P7" s="198">
        <f t="shared" si="0"/>
        <v>15</v>
      </c>
      <c r="Q7" s="171"/>
      <c r="R7" s="171"/>
    </row>
    <row r="8" spans="1:18" s="172" customFormat="1" ht="28.5" customHeight="1">
      <c r="A8" s="199"/>
      <c r="B8" s="204"/>
      <c r="C8" s="205"/>
      <c r="D8" s="196" t="s">
        <v>7</v>
      </c>
      <c r="E8" s="197">
        <v>0</v>
      </c>
      <c r="F8" s="197">
        <v>1</v>
      </c>
      <c r="G8" s="197">
        <v>2</v>
      </c>
      <c r="H8" s="197">
        <v>0</v>
      </c>
      <c r="I8" s="197">
        <v>1</v>
      </c>
      <c r="J8" s="197">
        <v>1</v>
      </c>
      <c r="K8" s="197">
        <v>1</v>
      </c>
      <c r="L8" s="197">
        <v>0</v>
      </c>
      <c r="M8" s="197">
        <v>0</v>
      </c>
      <c r="N8" s="197">
        <v>1</v>
      </c>
      <c r="O8" s="197">
        <v>1</v>
      </c>
      <c r="P8" s="198">
        <f t="shared" si="0"/>
        <v>8</v>
      </c>
      <c r="Q8" s="171"/>
      <c r="R8" s="171"/>
    </row>
    <row r="9" spans="1:18" s="172" customFormat="1" ht="19.149999999999999" customHeight="1">
      <c r="A9" s="193">
        <v>4</v>
      </c>
      <c r="B9" s="202" t="s">
        <v>300</v>
      </c>
      <c r="C9" s="195" t="s">
        <v>301</v>
      </c>
      <c r="D9" s="196" t="s">
        <v>8</v>
      </c>
      <c r="E9" s="197">
        <v>0</v>
      </c>
      <c r="F9" s="197">
        <v>0</v>
      </c>
      <c r="G9" s="197">
        <v>0</v>
      </c>
      <c r="H9" s="197">
        <v>1</v>
      </c>
      <c r="I9" s="197">
        <v>0</v>
      </c>
      <c r="J9" s="197">
        <v>2</v>
      </c>
      <c r="K9" s="197">
        <v>2</v>
      </c>
      <c r="L9" s="197">
        <v>5</v>
      </c>
      <c r="M9" s="197">
        <v>3</v>
      </c>
      <c r="N9" s="197">
        <v>3</v>
      </c>
      <c r="O9" s="197">
        <v>3</v>
      </c>
      <c r="P9" s="198">
        <f t="shared" si="0"/>
        <v>19</v>
      </c>
      <c r="Q9" s="171"/>
      <c r="R9" s="171"/>
    </row>
    <row r="10" spans="1:18" s="172" customFormat="1" ht="19.149999999999999" customHeight="1">
      <c r="A10" s="199"/>
      <c r="B10" s="204"/>
      <c r="C10" s="201"/>
      <c r="D10" s="196" t="s">
        <v>7</v>
      </c>
      <c r="E10" s="197">
        <v>0</v>
      </c>
      <c r="F10" s="197">
        <v>0</v>
      </c>
      <c r="G10" s="197">
        <v>0</v>
      </c>
      <c r="H10" s="197">
        <v>0</v>
      </c>
      <c r="I10" s="197">
        <v>0</v>
      </c>
      <c r="J10" s="197">
        <v>0</v>
      </c>
      <c r="K10" s="197">
        <v>1</v>
      </c>
      <c r="L10" s="197">
        <v>2</v>
      </c>
      <c r="M10" s="197">
        <v>3</v>
      </c>
      <c r="N10" s="197">
        <v>1</v>
      </c>
      <c r="O10" s="197">
        <v>2</v>
      </c>
      <c r="P10" s="198">
        <f t="shared" si="0"/>
        <v>9</v>
      </c>
      <c r="Q10" s="171"/>
      <c r="R10" s="171"/>
    </row>
    <row r="11" spans="1:18" s="172" customFormat="1" ht="19.149999999999999" customHeight="1">
      <c r="A11" s="193">
        <v>5</v>
      </c>
      <c r="B11" s="202" t="s">
        <v>302</v>
      </c>
      <c r="C11" s="195" t="s">
        <v>303</v>
      </c>
      <c r="D11" s="196" t="s">
        <v>8</v>
      </c>
      <c r="E11" s="197">
        <v>0</v>
      </c>
      <c r="F11" s="197">
        <v>0</v>
      </c>
      <c r="G11" s="197">
        <v>0</v>
      </c>
      <c r="H11" s="197">
        <v>0</v>
      </c>
      <c r="I11" s="197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8">
        <f t="shared" si="0"/>
        <v>0</v>
      </c>
      <c r="Q11" s="171"/>
      <c r="R11" s="171"/>
    </row>
    <row r="12" spans="1:18" s="172" customFormat="1" ht="19.149999999999999" customHeight="1">
      <c r="A12" s="199"/>
      <c r="B12" s="204"/>
      <c r="C12" s="201"/>
      <c r="D12" s="196" t="s">
        <v>7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8">
        <f t="shared" si="0"/>
        <v>0</v>
      </c>
      <c r="Q12" s="171"/>
      <c r="R12" s="171"/>
    </row>
    <row r="13" spans="1:18" s="172" customFormat="1" ht="19.149999999999999" customHeight="1">
      <c r="A13" s="193">
        <v>6</v>
      </c>
      <c r="B13" s="202" t="s">
        <v>304</v>
      </c>
      <c r="C13" s="195" t="s">
        <v>305</v>
      </c>
      <c r="D13" s="196" t="s">
        <v>8</v>
      </c>
      <c r="E13" s="197">
        <v>0</v>
      </c>
      <c r="F13" s="197">
        <v>0</v>
      </c>
      <c r="G13" s="197">
        <v>0</v>
      </c>
      <c r="H13" s="197">
        <v>0</v>
      </c>
      <c r="I13" s="197">
        <v>0</v>
      </c>
      <c r="J13" s="197">
        <v>0</v>
      </c>
      <c r="K13" s="197">
        <v>0</v>
      </c>
      <c r="L13" s="197">
        <v>0</v>
      </c>
      <c r="M13" s="197">
        <v>0</v>
      </c>
      <c r="N13" s="197">
        <v>0</v>
      </c>
      <c r="O13" s="197">
        <v>0</v>
      </c>
      <c r="P13" s="198">
        <f t="shared" si="0"/>
        <v>0</v>
      </c>
      <c r="Q13" s="171"/>
      <c r="R13" s="171"/>
    </row>
    <row r="14" spans="1:18" s="172" customFormat="1" ht="19.149999999999999" customHeight="1">
      <c r="A14" s="199"/>
      <c r="B14" s="204"/>
      <c r="C14" s="201"/>
      <c r="D14" s="196" t="s">
        <v>7</v>
      </c>
      <c r="E14" s="197">
        <v>0</v>
      </c>
      <c r="F14" s="197">
        <v>0</v>
      </c>
      <c r="G14" s="197">
        <v>0</v>
      </c>
      <c r="H14" s="197">
        <v>0</v>
      </c>
      <c r="I14" s="197">
        <v>1</v>
      </c>
      <c r="J14" s="197">
        <v>0</v>
      </c>
      <c r="K14" s="197">
        <v>0</v>
      </c>
      <c r="L14" s="197">
        <v>0</v>
      </c>
      <c r="M14" s="197">
        <v>0</v>
      </c>
      <c r="N14" s="197">
        <v>0</v>
      </c>
      <c r="O14" s="197">
        <v>0</v>
      </c>
      <c r="P14" s="198">
        <f t="shared" si="0"/>
        <v>1</v>
      </c>
      <c r="Q14" s="171"/>
      <c r="R14" s="171"/>
    </row>
    <row r="15" spans="1:18" s="172" customFormat="1" ht="19.149999999999999" customHeight="1">
      <c r="A15" s="193">
        <v>7</v>
      </c>
      <c r="B15" s="202" t="s">
        <v>306</v>
      </c>
      <c r="C15" s="195" t="s">
        <v>307</v>
      </c>
      <c r="D15" s="196" t="s">
        <v>8</v>
      </c>
      <c r="E15" s="197">
        <v>0</v>
      </c>
      <c r="F15" s="197">
        <v>0</v>
      </c>
      <c r="G15" s="197">
        <v>0</v>
      </c>
      <c r="H15" s="197">
        <v>0</v>
      </c>
      <c r="I15" s="197">
        <v>0</v>
      </c>
      <c r="J15" s="197">
        <v>0</v>
      </c>
      <c r="K15" s="197">
        <v>0</v>
      </c>
      <c r="L15" s="197">
        <v>0</v>
      </c>
      <c r="M15" s="197">
        <v>0</v>
      </c>
      <c r="N15" s="197">
        <v>0</v>
      </c>
      <c r="O15" s="197">
        <v>0</v>
      </c>
      <c r="P15" s="198">
        <f t="shared" si="0"/>
        <v>0</v>
      </c>
      <c r="Q15" s="171"/>
      <c r="R15" s="171"/>
    </row>
    <row r="16" spans="1:18" s="172" customFormat="1" ht="19.149999999999999" customHeight="1">
      <c r="A16" s="199"/>
      <c r="B16" s="204"/>
      <c r="C16" s="201"/>
      <c r="D16" s="196" t="s">
        <v>7</v>
      </c>
      <c r="E16" s="197">
        <v>0</v>
      </c>
      <c r="F16" s="197">
        <v>0</v>
      </c>
      <c r="G16" s="197">
        <v>0</v>
      </c>
      <c r="H16" s="197">
        <v>0</v>
      </c>
      <c r="I16" s="197">
        <v>0</v>
      </c>
      <c r="J16" s="197">
        <v>0</v>
      </c>
      <c r="K16" s="197">
        <v>0</v>
      </c>
      <c r="L16" s="197">
        <v>0</v>
      </c>
      <c r="M16" s="197">
        <v>0</v>
      </c>
      <c r="N16" s="197">
        <v>0</v>
      </c>
      <c r="O16" s="197">
        <v>0</v>
      </c>
      <c r="P16" s="198">
        <f t="shared" si="0"/>
        <v>0</v>
      </c>
      <c r="Q16" s="171"/>
      <c r="R16" s="171"/>
    </row>
    <row r="17" spans="1:18" s="172" customFormat="1" ht="19.149999999999999" customHeight="1">
      <c r="A17" s="193">
        <v>8</v>
      </c>
      <c r="B17" s="202" t="s">
        <v>308</v>
      </c>
      <c r="C17" s="195" t="s">
        <v>309</v>
      </c>
      <c r="D17" s="196" t="s">
        <v>8</v>
      </c>
      <c r="E17" s="197">
        <v>0</v>
      </c>
      <c r="F17" s="197">
        <v>0</v>
      </c>
      <c r="G17" s="197">
        <v>0</v>
      </c>
      <c r="H17" s="197">
        <v>0</v>
      </c>
      <c r="I17" s="197">
        <v>0</v>
      </c>
      <c r="J17" s="197">
        <v>0</v>
      </c>
      <c r="K17" s="197">
        <v>0</v>
      </c>
      <c r="L17" s="197">
        <v>0</v>
      </c>
      <c r="M17" s="197">
        <v>0</v>
      </c>
      <c r="N17" s="197">
        <v>0</v>
      </c>
      <c r="O17" s="197">
        <v>0</v>
      </c>
      <c r="P17" s="198">
        <f t="shared" si="0"/>
        <v>0</v>
      </c>
      <c r="Q17" s="171"/>
      <c r="R17" s="171"/>
    </row>
    <row r="18" spans="1:18" s="172" customFormat="1" ht="19.149999999999999" customHeight="1">
      <c r="A18" s="199"/>
      <c r="B18" s="204"/>
      <c r="C18" s="201"/>
      <c r="D18" s="196" t="s">
        <v>7</v>
      </c>
      <c r="E18" s="197">
        <v>0</v>
      </c>
      <c r="F18" s="197">
        <v>0</v>
      </c>
      <c r="G18" s="197">
        <v>0</v>
      </c>
      <c r="H18" s="197">
        <v>0</v>
      </c>
      <c r="I18" s="197">
        <v>0</v>
      </c>
      <c r="J18" s="197">
        <v>0</v>
      </c>
      <c r="K18" s="197">
        <v>0</v>
      </c>
      <c r="L18" s="197">
        <v>0</v>
      </c>
      <c r="M18" s="197">
        <v>0</v>
      </c>
      <c r="N18" s="197">
        <v>0</v>
      </c>
      <c r="O18" s="197">
        <v>0</v>
      </c>
      <c r="P18" s="198">
        <f t="shared" si="0"/>
        <v>0</v>
      </c>
      <c r="Q18" s="171"/>
      <c r="R18" s="171"/>
    </row>
    <row r="19" spans="1:18" s="179" customFormat="1" ht="19.149999999999999" customHeight="1">
      <c r="A19" s="206"/>
      <c r="B19" s="207"/>
      <c r="C19" s="208" t="s">
        <v>19</v>
      </c>
      <c r="D19" s="209" t="s">
        <v>8</v>
      </c>
      <c r="E19" s="210">
        <f>E3+E5+E7+E9+E11+E13+E15+E17</f>
        <v>0</v>
      </c>
      <c r="F19" s="210">
        <f t="shared" ref="F19:O20" si="1">F3+F5+F7+F9+F11+F13+F15+F17</f>
        <v>8</v>
      </c>
      <c r="G19" s="210">
        <f t="shared" si="1"/>
        <v>2</v>
      </c>
      <c r="H19" s="210">
        <f t="shared" si="1"/>
        <v>11</v>
      </c>
      <c r="I19" s="210">
        <f t="shared" si="1"/>
        <v>32</v>
      </c>
      <c r="J19" s="210">
        <f t="shared" si="1"/>
        <v>7</v>
      </c>
      <c r="K19" s="210">
        <f t="shared" si="1"/>
        <v>50</v>
      </c>
      <c r="L19" s="210">
        <f t="shared" si="1"/>
        <v>10</v>
      </c>
      <c r="M19" s="210">
        <f t="shared" si="1"/>
        <v>7</v>
      </c>
      <c r="N19" s="210">
        <f t="shared" si="1"/>
        <v>23</v>
      </c>
      <c r="O19" s="210">
        <f t="shared" si="1"/>
        <v>7</v>
      </c>
      <c r="P19" s="211">
        <f>SUM(E19:O19)</f>
        <v>157</v>
      </c>
      <c r="Q19" s="180"/>
      <c r="R19" s="180"/>
    </row>
    <row r="20" spans="1:18" s="179" customFormat="1" ht="19.149999999999999" customHeight="1">
      <c r="A20" s="212"/>
      <c r="B20" s="212"/>
      <c r="C20" s="213"/>
      <c r="D20" s="214" t="s">
        <v>7</v>
      </c>
      <c r="E20" s="215">
        <f>E4+E6+E8+E10+E12+E14+E16+E18</f>
        <v>0</v>
      </c>
      <c r="F20" s="215">
        <f t="shared" si="1"/>
        <v>1</v>
      </c>
      <c r="G20" s="215">
        <f t="shared" si="1"/>
        <v>2</v>
      </c>
      <c r="H20" s="215">
        <f t="shared" si="1"/>
        <v>0</v>
      </c>
      <c r="I20" s="215">
        <f t="shared" si="1"/>
        <v>22</v>
      </c>
      <c r="J20" s="215">
        <f t="shared" si="1"/>
        <v>1</v>
      </c>
      <c r="K20" s="215">
        <f t="shared" si="1"/>
        <v>5</v>
      </c>
      <c r="L20" s="215">
        <f t="shared" si="1"/>
        <v>5</v>
      </c>
      <c r="M20" s="215">
        <f t="shared" si="1"/>
        <v>5</v>
      </c>
      <c r="N20" s="215">
        <f t="shared" si="1"/>
        <v>12</v>
      </c>
      <c r="O20" s="215">
        <f t="shared" si="1"/>
        <v>4</v>
      </c>
      <c r="P20" s="216">
        <f>SUM(E20:O20)</f>
        <v>57</v>
      </c>
      <c r="Q20" s="180"/>
      <c r="R20" s="180"/>
    </row>
    <row r="21" spans="1:18" s="172" customFormat="1" ht="15.75">
      <c r="A21" s="217"/>
      <c r="B21" s="217"/>
      <c r="C21" s="218"/>
      <c r="D21" s="219" t="s">
        <v>162</v>
      </c>
      <c r="E21" s="220">
        <f>E19+E20</f>
        <v>0</v>
      </c>
      <c r="F21" s="220">
        <f t="shared" ref="F21:O21" si="2">F19+F20</f>
        <v>9</v>
      </c>
      <c r="G21" s="220">
        <f t="shared" si="2"/>
        <v>4</v>
      </c>
      <c r="H21" s="220">
        <f t="shared" si="2"/>
        <v>11</v>
      </c>
      <c r="I21" s="220">
        <f t="shared" si="2"/>
        <v>54</v>
      </c>
      <c r="J21" s="220">
        <f t="shared" si="2"/>
        <v>8</v>
      </c>
      <c r="K21" s="220">
        <f t="shared" si="2"/>
        <v>55</v>
      </c>
      <c r="L21" s="220">
        <f t="shared" si="2"/>
        <v>15</v>
      </c>
      <c r="M21" s="220">
        <f t="shared" si="2"/>
        <v>12</v>
      </c>
      <c r="N21" s="220">
        <f t="shared" si="2"/>
        <v>35</v>
      </c>
      <c r="O21" s="220">
        <f t="shared" si="2"/>
        <v>11</v>
      </c>
      <c r="P21" s="221">
        <f>SUM(E21:O21)</f>
        <v>214</v>
      </c>
    </row>
    <row r="22" spans="1:18" ht="15.75" customHeight="1">
      <c r="A22" s="311" t="s">
        <v>551</v>
      </c>
      <c r="B22" s="181"/>
      <c r="C22" s="181"/>
      <c r="D22" s="171"/>
      <c r="E22" s="171"/>
      <c r="F22" s="171"/>
      <c r="G22" s="171"/>
      <c r="H22" s="174"/>
      <c r="I22" s="171"/>
      <c r="J22" s="177"/>
      <c r="K22" s="171"/>
      <c r="L22" s="171"/>
      <c r="M22" s="171"/>
      <c r="N22" s="171"/>
      <c r="O22" s="171"/>
      <c r="P22" s="171"/>
    </row>
    <row r="23" spans="1:18">
      <c r="D23" s="181"/>
    </row>
    <row r="47" spans="4:11" ht="15.75">
      <c r="D47" s="169"/>
      <c r="G47" s="185"/>
      <c r="H47" s="153"/>
      <c r="J47" s="153"/>
    </row>
    <row r="48" spans="4:11">
      <c r="D48" s="169"/>
      <c r="H48" s="153"/>
      <c r="J48" s="153"/>
      <c r="K48" s="153" t="s">
        <v>310</v>
      </c>
    </row>
  </sheetData>
  <mergeCells count="1">
    <mergeCell ref="A1:P1"/>
  </mergeCells>
  <pageMargins left="0.16" right="0.16" top="0.75" bottom="0.75" header="0.3" footer="0.3"/>
  <pageSetup orientation="landscape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5"/>
  <dimension ref="A1:R27"/>
  <sheetViews>
    <sheetView topLeftCell="A19" workbookViewId="0">
      <selection activeCell="C31" sqref="C31"/>
    </sheetView>
  </sheetViews>
  <sheetFormatPr defaultRowHeight="15"/>
  <cols>
    <col min="1" max="1" width="7" style="145" bestFit="1" customWidth="1"/>
    <col min="2" max="2" width="9" style="145" bestFit="1" customWidth="1"/>
    <col min="3" max="3" width="32.85546875" style="145" bestFit="1" customWidth="1"/>
    <col min="4" max="4" width="4.5703125" style="145" bestFit="1" customWidth="1"/>
    <col min="5" max="16" width="9" style="145" customWidth="1"/>
    <col min="17" max="16384" width="9.140625" style="145"/>
  </cols>
  <sheetData>
    <row r="1" spans="1:18" s="169" customFormat="1" ht="15.75">
      <c r="A1" s="463" t="s">
        <v>538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5"/>
    </row>
    <row r="2" spans="1:18" s="170" customFormat="1" ht="36" customHeight="1">
      <c r="A2" s="187" t="s">
        <v>280</v>
      </c>
      <c r="B2" s="187" t="s">
        <v>281</v>
      </c>
      <c r="C2" s="187" t="s">
        <v>282</v>
      </c>
      <c r="D2" s="187" t="s">
        <v>159</v>
      </c>
      <c r="E2" s="306" t="s">
        <v>283</v>
      </c>
      <c r="F2" s="306" t="s">
        <v>284</v>
      </c>
      <c r="G2" s="306" t="s">
        <v>285</v>
      </c>
      <c r="H2" s="306" t="s">
        <v>286</v>
      </c>
      <c r="I2" s="306" t="s">
        <v>287</v>
      </c>
      <c r="J2" s="306" t="s">
        <v>288</v>
      </c>
      <c r="K2" s="306" t="s">
        <v>289</v>
      </c>
      <c r="L2" s="306" t="s">
        <v>290</v>
      </c>
      <c r="M2" s="306" t="s">
        <v>291</v>
      </c>
      <c r="N2" s="306" t="s">
        <v>292</v>
      </c>
      <c r="O2" s="306" t="s">
        <v>293</v>
      </c>
      <c r="P2" s="306" t="s">
        <v>19</v>
      </c>
    </row>
    <row r="3" spans="1:18" s="223" customFormat="1" ht="15.75">
      <c r="A3" s="227">
        <v>9</v>
      </c>
      <c r="B3" s="228" t="s">
        <v>311</v>
      </c>
      <c r="C3" s="228" t="s">
        <v>312</v>
      </c>
      <c r="D3" s="176" t="s">
        <v>8</v>
      </c>
      <c r="E3" s="173">
        <v>0</v>
      </c>
      <c r="F3" s="173">
        <v>0</v>
      </c>
      <c r="G3" s="173">
        <v>0</v>
      </c>
      <c r="H3" s="173">
        <v>0</v>
      </c>
      <c r="I3" s="173">
        <v>1</v>
      </c>
      <c r="J3" s="173">
        <v>1</v>
      </c>
      <c r="K3" s="173">
        <v>3</v>
      </c>
      <c r="L3" s="173">
        <v>3</v>
      </c>
      <c r="M3" s="173">
        <v>5</v>
      </c>
      <c r="N3" s="173">
        <v>8</v>
      </c>
      <c r="O3" s="173">
        <v>1</v>
      </c>
      <c r="P3" s="173">
        <f t="shared" ref="P3:P23" si="0">SUM(E3:O3)</f>
        <v>22</v>
      </c>
      <c r="Q3" s="222"/>
      <c r="R3" s="222"/>
    </row>
    <row r="4" spans="1:18" s="223" customFormat="1" ht="15.75">
      <c r="A4" s="227"/>
      <c r="B4" s="228"/>
      <c r="C4" s="228"/>
      <c r="D4" s="176" t="s">
        <v>7</v>
      </c>
      <c r="E4" s="173">
        <v>0</v>
      </c>
      <c r="F4" s="173">
        <v>0</v>
      </c>
      <c r="G4" s="173">
        <v>2</v>
      </c>
      <c r="H4" s="173">
        <v>6</v>
      </c>
      <c r="I4" s="173">
        <v>0</v>
      </c>
      <c r="J4" s="173">
        <v>1</v>
      </c>
      <c r="K4" s="173">
        <v>3</v>
      </c>
      <c r="L4" s="173">
        <v>2</v>
      </c>
      <c r="M4" s="173">
        <v>2</v>
      </c>
      <c r="N4" s="173">
        <v>4</v>
      </c>
      <c r="O4" s="173">
        <v>1</v>
      </c>
      <c r="P4" s="173">
        <f t="shared" si="0"/>
        <v>21</v>
      </c>
      <c r="Q4" s="222"/>
      <c r="R4" s="222"/>
    </row>
    <row r="5" spans="1:18" s="223" customFormat="1" ht="15.75">
      <c r="A5" s="227">
        <v>10</v>
      </c>
      <c r="B5" s="228" t="s">
        <v>313</v>
      </c>
      <c r="C5" s="228" t="s">
        <v>314</v>
      </c>
      <c r="D5" s="176" t="s">
        <v>8</v>
      </c>
      <c r="E5" s="173">
        <v>5</v>
      </c>
      <c r="F5" s="173">
        <v>4</v>
      </c>
      <c r="G5" s="173">
        <v>0</v>
      </c>
      <c r="H5" s="173">
        <v>1</v>
      </c>
      <c r="I5" s="173">
        <v>0</v>
      </c>
      <c r="J5" s="173">
        <v>0</v>
      </c>
      <c r="K5" s="173">
        <v>0</v>
      </c>
      <c r="L5" s="173">
        <v>3</v>
      </c>
      <c r="M5" s="173">
        <v>0</v>
      </c>
      <c r="N5" s="173">
        <v>2</v>
      </c>
      <c r="O5" s="173">
        <v>0</v>
      </c>
      <c r="P5" s="173">
        <f t="shared" si="0"/>
        <v>15</v>
      </c>
      <c r="Q5" s="222"/>
      <c r="R5" s="222"/>
    </row>
    <row r="6" spans="1:18" s="223" customFormat="1" ht="15.75">
      <c r="A6" s="227"/>
      <c r="B6" s="228"/>
      <c r="C6" s="228"/>
      <c r="D6" s="176" t="s">
        <v>7</v>
      </c>
      <c r="E6" s="173">
        <v>1</v>
      </c>
      <c r="F6" s="173">
        <v>4</v>
      </c>
      <c r="G6" s="173">
        <v>0</v>
      </c>
      <c r="H6" s="173">
        <v>0</v>
      </c>
      <c r="I6" s="173">
        <v>0</v>
      </c>
      <c r="J6" s="173">
        <v>0</v>
      </c>
      <c r="K6" s="173">
        <v>0</v>
      </c>
      <c r="L6" s="173">
        <v>0</v>
      </c>
      <c r="M6" s="173">
        <v>1</v>
      </c>
      <c r="N6" s="173">
        <v>1</v>
      </c>
      <c r="O6" s="173">
        <v>1</v>
      </c>
      <c r="P6" s="173">
        <f t="shared" si="0"/>
        <v>8</v>
      </c>
      <c r="Q6" s="222"/>
      <c r="R6" s="222"/>
    </row>
    <row r="7" spans="1:18" s="223" customFormat="1" ht="31.5">
      <c r="A7" s="227">
        <v>11</v>
      </c>
      <c r="B7" s="228" t="s">
        <v>315</v>
      </c>
      <c r="C7" s="228" t="s">
        <v>316</v>
      </c>
      <c r="D7" s="176" t="s">
        <v>8</v>
      </c>
      <c r="E7" s="173">
        <v>0</v>
      </c>
      <c r="F7" s="173">
        <v>0</v>
      </c>
      <c r="G7" s="173">
        <v>0</v>
      </c>
      <c r="H7" s="173">
        <v>0</v>
      </c>
      <c r="I7" s="173">
        <v>1</v>
      </c>
      <c r="J7" s="173">
        <v>1</v>
      </c>
      <c r="K7" s="173">
        <v>2</v>
      </c>
      <c r="L7" s="173">
        <v>4</v>
      </c>
      <c r="M7" s="173">
        <v>2</v>
      </c>
      <c r="N7" s="173">
        <v>0</v>
      </c>
      <c r="O7" s="173">
        <v>0</v>
      </c>
      <c r="P7" s="173">
        <f t="shared" si="0"/>
        <v>10</v>
      </c>
      <c r="Q7" s="222"/>
      <c r="R7" s="222"/>
    </row>
    <row r="8" spans="1:18" s="223" customFormat="1" ht="15.75" customHeight="1">
      <c r="A8" s="227"/>
      <c r="B8" s="228"/>
      <c r="C8" s="228"/>
      <c r="D8" s="176" t="s">
        <v>7</v>
      </c>
      <c r="E8" s="173">
        <v>0</v>
      </c>
      <c r="F8" s="173">
        <v>0</v>
      </c>
      <c r="G8" s="173">
        <v>0</v>
      </c>
      <c r="H8" s="173">
        <v>0</v>
      </c>
      <c r="I8" s="173">
        <v>0</v>
      </c>
      <c r="J8" s="173">
        <v>1</v>
      </c>
      <c r="K8" s="173">
        <v>1</v>
      </c>
      <c r="L8" s="173">
        <v>0</v>
      </c>
      <c r="M8" s="173">
        <v>1</v>
      </c>
      <c r="N8" s="173">
        <v>1</v>
      </c>
      <c r="O8" s="173">
        <v>0</v>
      </c>
      <c r="P8" s="173">
        <f t="shared" si="0"/>
        <v>4</v>
      </c>
      <c r="Q8" s="222"/>
      <c r="R8" s="222"/>
    </row>
    <row r="9" spans="1:18" s="223" customFormat="1" ht="31.5">
      <c r="A9" s="227">
        <v>12</v>
      </c>
      <c r="B9" s="228" t="s">
        <v>317</v>
      </c>
      <c r="C9" s="228" t="s">
        <v>318</v>
      </c>
      <c r="D9" s="176" t="s">
        <v>8</v>
      </c>
      <c r="E9" s="173">
        <v>0</v>
      </c>
      <c r="F9" s="173">
        <v>0</v>
      </c>
      <c r="G9" s="173">
        <v>0</v>
      </c>
      <c r="H9" s="173">
        <v>0</v>
      </c>
      <c r="I9" s="173">
        <v>0</v>
      </c>
      <c r="J9" s="173">
        <v>0</v>
      </c>
      <c r="K9" s="173">
        <v>0</v>
      </c>
      <c r="L9" s="173">
        <v>0</v>
      </c>
      <c r="M9" s="173">
        <v>0</v>
      </c>
      <c r="N9" s="173">
        <v>0</v>
      </c>
      <c r="O9" s="173">
        <v>0</v>
      </c>
      <c r="P9" s="173">
        <f t="shared" si="0"/>
        <v>0</v>
      </c>
      <c r="Q9" s="222"/>
      <c r="R9" s="222"/>
    </row>
    <row r="10" spans="1:18" s="223" customFormat="1" ht="15.75">
      <c r="A10" s="227"/>
      <c r="B10" s="228"/>
      <c r="C10" s="228"/>
      <c r="D10" s="176" t="s">
        <v>7</v>
      </c>
      <c r="E10" s="173">
        <v>0</v>
      </c>
      <c r="F10" s="173">
        <v>0</v>
      </c>
      <c r="G10" s="173">
        <v>0</v>
      </c>
      <c r="H10" s="173">
        <v>0</v>
      </c>
      <c r="I10" s="173">
        <v>0</v>
      </c>
      <c r="J10" s="173">
        <v>0</v>
      </c>
      <c r="K10" s="173">
        <v>0</v>
      </c>
      <c r="L10" s="173">
        <v>0</v>
      </c>
      <c r="M10" s="173">
        <v>0</v>
      </c>
      <c r="N10" s="173">
        <v>0</v>
      </c>
      <c r="O10" s="173">
        <v>0</v>
      </c>
      <c r="P10" s="173">
        <f t="shared" si="0"/>
        <v>0</v>
      </c>
      <c r="Q10" s="222"/>
      <c r="R10" s="222"/>
    </row>
    <row r="11" spans="1:18" s="223" customFormat="1" ht="31.5">
      <c r="A11" s="227">
        <v>13</v>
      </c>
      <c r="B11" s="228" t="s">
        <v>319</v>
      </c>
      <c r="C11" s="228" t="s">
        <v>320</v>
      </c>
      <c r="D11" s="176" t="s">
        <v>8</v>
      </c>
      <c r="E11" s="173">
        <v>0</v>
      </c>
      <c r="F11" s="173">
        <v>0</v>
      </c>
      <c r="G11" s="173">
        <v>0</v>
      </c>
      <c r="H11" s="173">
        <v>0</v>
      </c>
      <c r="I11" s="173">
        <v>0</v>
      </c>
      <c r="J11" s="173">
        <v>0</v>
      </c>
      <c r="K11" s="173">
        <v>0</v>
      </c>
      <c r="L11" s="173">
        <v>0</v>
      </c>
      <c r="M11" s="173">
        <v>0</v>
      </c>
      <c r="N11" s="173">
        <v>0</v>
      </c>
      <c r="O11" s="173">
        <v>0</v>
      </c>
      <c r="P11" s="173">
        <f t="shared" si="0"/>
        <v>0</v>
      </c>
      <c r="Q11" s="222"/>
      <c r="R11" s="222"/>
    </row>
    <row r="12" spans="1:18" s="223" customFormat="1" ht="16.5" customHeight="1">
      <c r="A12" s="227"/>
      <c r="B12" s="228"/>
      <c r="C12" s="228"/>
      <c r="D12" s="176" t="s">
        <v>7</v>
      </c>
      <c r="E12" s="173">
        <v>0</v>
      </c>
      <c r="F12" s="173">
        <v>0</v>
      </c>
      <c r="G12" s="173">
        <v>0</v>
      </c>
      <c r="H12" s="173">
        <v>0</v>
      </c>
      <c r="I12" s="173">
        <v>0</v>
      </c>
      <c r="J12" s="173">
        <v>0</v>
      </c>
      <c r="K12" s="173">
        <v>0</v>
      </c>
      <c r="L12" s="173">
        <v>0</v>
      </c>
      <c r="M12" s="173">
        <v>0</v>
      </c>
      <c r="N12" s="173">
        <v>0</v>
      </c>
      <c r="O12" s="173">
        <v>0</v>
      </c>
      <c r="P12" s="173">
        <f t="shared" si="0"/>
        <v>0</v>
      </c>
      <c r="Q12" s="222"/>
      <c r="R12" s="222"/>
    </row>
    <row r="13" spans="1:18" s="223" customFormat="1" ht="31.5">
      <c r="A13" s="227">
        <v>14</v>
      </c>
      <c r="B13" s="228" t="s">
        <v>321</v>
      </c>
      <c r="C13" s="228" t="s">
        <v>322</v>
      </c>
      <c r="D13" s="176" t="s">
        <v>8</v>
      </c>
      <c r="E13" s="173">
        <v>0</v>
      </c>
      <c r="F13" s="173">
        <v>0</v>
      </c>
      <c r="G13" s="173">
        <v>0</v>
      </c>
      <c r="H13" s="173">
        <v>0</v>
      </c>
      <c r="I13" s="173">
        <v>1</v>
      </c>
      <c r="J13" s="173">
        <v>1</v>
      </c>
      <c r="K13" s="173">
        <v>1</v>
      </c>
      <c r="L13" s="173">
        <v>3</v>
      </c>
      <c r="M13" s="173">
        <v>1</v>
      </c>
      <c r="N13" s="173">
        <v>2</v>
      </c>
      <c r="O13" s="173">
        <v>1</v>
      </c>
      <c r="P13" s="173">
        <f t="shared" si="0"/>
        <v>10</v>
      </c>
      <c r="Q13" s="222"/>
      <c r="R13" s="222"/>
    </row>
    <row r="14" spans="1:18" s="223" customFormat="1" ht="15.75">
      <c r="A14" s="227"/>
      <c r="B14" s="228"/>
      <c r="C14" s="228"/>
      <c r="D14" s="176" t="s">
        <v>7</v>
      </c>
      <c r="E14" s="173">
        <v>0</v>
      </c>
      <c r="F14" s="173">
        <v>0</v>
      </c>
      <c r="G14" s="173">
        <v>0</v>
      </c>
      <c r="H14" s="173">
        <v>0</v>
      </c>
      <c r="I14" s="173">
        <v>0</v>
      </c>
      <c r="J14" s="173">
        <v>0</v>
      </c>
      <c r="K14" s="173">
        <v>1</v>
      </c>
      <c r="L14" s="173">
        <v>0</v>
      </c>
      <c r="M14" s="173">
        <v>3</v>
      </c>
      <c r="N14" s="173">
        <v>0</v>
      </c>
      <c r="O14" s="173">
        <v>1</v>
      </c>
      <c r="P14" s="173">
        <f t="shared" si="0"/>
        <v>5</v>
      </c>
      <c r="Q14" s="222"/>
      <c r="R14" s="222"/>
    </row>
    <row r="15" spans="1:18" s="223" customFormat="1" ht="31.5" customHeight="1">
      <c r="A15" s="227">
        <v>15</v>
      </c>
      <c r="B15" s="229" t="s">
        <v>323</v>
      </c>
      <c r="C15" s="229" t="s">
        <v>324</v>
      </c>
      <c r="D15" s="176" t="s">
        <v>7</v>
      </c>
      <c r="E15" s="173">
        <v>0</v>
      </c>
      <c r="F15" s="173">
        <v>0</v>
      </c>
      <c r="G15" s="173">
        <v>0</v>
      </c>
      <c r="H15" s="173">
        <v>2</v>
      </c>
      <c r="I15" s="173">
        <v>0</v>
      </c>
      <c r="J15" s="173">
        <v>0</v>
      </c>
      <c r="K15" s="173">
        <v>0</v>
      </c>
      <c r="L15" s="173">
        <v>0</v>
      </c>
      <c r="M15" s="173">
        <v>0</v>
      </c>
      <c r="N15" s="173">
        <v>0</v>
      </c>
      <c r="O15" s="173">
        <v>0</v>
      </c>
      <c r="P15" s="173">
        <f t="shared" si="0"/>
        <v>2</v>
      </c>
      <c r="Q15" s="222"/>
      <c r="R15" s="222"/>
    </row>
    <row r="16" spans="1:18" s="223" customFormat="1" ht="31.5">
      <c r="A16" s="227">
        <v>16</v>
      </c>
      <c r="B16" s="228" t="s">
        <v>325</v>
      </c>
      <c r="C16" s="228" t="s">
        <v>326</v>
      </c>
      <c r="D16" s="176" t="s">
        <v>8</v>
      </c>
      <c r="E16" s="173">
        <v>13</v>
      </c>
      <c r="F16" s="173">
        <v>0</v>
      </c>
      <c r="G16" s="173">
        <v>0</v>
      </c>
      <c r="H16" s="173">
        <v>0</v>
      </c>
      <c r="I16" s="173">
        <v>0</v>
      </c>
      <c r="J16" s="173">
        <v>0</v>
      </c>
      <c r="K16" s="173">
        <v>0</v>
      </c>
      <c r="L16" s="173">
        <v>0</v>
      </c>
      <c r="M16" s="173">
        <v>0</v>
      </c>
      <c r="N16" s="173">
        <v>0</v>
      </c>
      <c r="O16" s="173">
        <v>0</v>
      </c>
      <c r="P16" s="173">
        <f t="shared" si="0"/>
        <v>13</v>
      </c>
      <c r="Q16" s="222"/>
      <c r="R16" s="222"/>
    </row>
    <row r="17" spans="1:18" s="223" customFormat="1" ht="19.5" customHeight="1">
      <c r="A17" s="227"/>
      <c r="B17" s="228"/>
      <c r="C17" s="228"/>
      <c r="D17" s="176" t="s">
        <v>7</v>
      </c>
      <c r="E17" s="173">
        <v>9</v>
      </c>
      <c r="F17" s="173">
        <v>0</v>
      </c>
      <c r="G17" s="173">
        <v>0</v>
      </c>
      <c r="H17" s="173">
        <v>0</v>
      </c>
      <c r="I17" s="173">
        <v>0</v>
      </c>
      <c r="J17" s="173">
        <v>0</v>
      </c>
      <c r="K17" s="173">
        <v>0</v>
      </c>
      <c r="L17" s="173">
        <v>0</v>
      </c>
      <c r="M17" s="173">
        <v>0</v>
      </c>
      <c r="N17" s="173">
        <v>0</v>
      </c>
      <c r="O17" s="173">
        <v>0</v>
      </c>
      <c r="P17" s="173">
        <f t="shared" si="0"/>
        <v>9</v>
      </c>
      <c r="Q17" s="222"/>
      <c r="R17" s="222"/>
    </row>
    <row r="18" spans="1:18" s="223" customFormat="1" ht="47.25">
      <c r="A18" s="227">
        <v>17</v>
      </c>
      <c r="B18" s="228" t="s">
        <v>327</v>
      </c>
      <c r="C18" s="228" t="s">
        <v>328</v>
      </c>
      <c r="D18" s="176" t="s">
        <v>8</v>
      </c>
      <c r="E18" s="173">
        <v>0</v>
      </c>
      <c r="F18" s="173">
        <v>0</v>
      </c>
      <c r="G18" s="173">
        <v>0</v>
      </c>
      <c r="H18" s="173">
        <v>0</v>
      </c>
      <c r="I18" s="173">
        <v>0</v>
      </c>
      <c r="J18" s="173">
        <v>3</v>
      </c>
      <c r="K18" s="173">
        <v>0</v>
      </c>
      <c r="L18" s="173">
        <v>3</v>
      </c>
      <c r="M18" s="173">
        <v>0</v>
      </c>
      <c r="N18" s="173">
        <v>0</v>
      </c>
      <c r="O18" s="173">
        <v>2</v>
      </c>
      <c r="P18" s="173">
        <f t="shared" si="0"/>
        <v>8</v>
      </c>
      <c r="Q18" s="222"/>
      <c r="R18" s="222"/>
    </row>
    <row r="19" spans="1:18" s="223" customFormat="1" ht="33" customHeight="1">
      <c r="A19" s="227"/>
      <c r="B19" s="228"/>
      <c r="C19" s="228"/>
      <c r="D19" s="176" t="s">
        <v>7</v>
      </c>
      <c r="E19" s="173">
        <v>0</v>
      </c>
      <c r="F19" s="173">
        <v>0</v>
      </c>
      <c r="G19" s="173">
        <v>0</v>
      </c>
      <c r="H19" s="173">
        <v>0</v>
      </c>
      <c r="I19" s="173">
        <v>0</v>
      </c>
      <c r="J19" s="173">
        <v>2</v>
      </c>
      <c r="K19" s="173">
        <v>0</v>
      </c>
      <c r="L19" s="173">
        <v>0</v>
      </c>
      <c r="M19" s="173">
        <v>0</v>
      </c>
      <c r="N19" s="173">
        <v>0</v>
      </c>
      <c r="O19" s="173">
        <v>0</v>
      </c>
      <c r="P19" s="173">
        <f t="shared" si="0"/>
        <v>2</v>
      </c>
      <c r="Q19" s="222"/>
      <c r="R19" s="222"/>
    </row>
    <row r="20" spans="1:18" s="223" customFormat="1" ht="47.25">
      <c r="A20" s="227">
        <v>18</v>
      </c>
      <c r="B20" s="228" t="s">
        <v>329</v>
      </c>
      <c r="C20" s="228" t="s">
        <v>330</v>
      </c>
      <c r="D20" s="176" t="s">
        <v>8</v>
      </c>
      <c r="E20" s="173">
        <v>0</v>
      </c>
      <c r="F20" s="173">
        <v>0</v>
      </c>
      <c r="G20" s="173">
        <v>0</v>
      </c>
      <c r="H20" s="173">
        <v>0</v>
      </c>
      <c r="I20" s="173">
        <v>0</v>
      </c>
      <c r="J20" s="173">
        <v>23</v>
      </c>
      <c r="K20" s="173">
        <v>0</v>
      </c>
      <c r="L20" s="173">
        <v>26</v>
      </c>
      <c r="M20" s="173">
        <v>9</v>
      </c>
      <c r="N20" s="173">
        <v>0</v>
      </c>
      <c r="O20" s="173">
        <v>28</v>
      </c>
      <c r="P20" s="173">
        <f t="shared" si="0"/>
        <v>86</v>
      </c>
      <c r="Q20" s="222"/>
      <c r="R20" s="222"/>
    </row>
    <row r="21" spans="1:18" s="223" customFormat="1" ht="39.75" customHeight="1">
      <c r="A21" s="227"/>
      <c r="B21" s="228"/>
      <c r="C21" s="228"/>
      <c r="D21" s="176" t="s">
        <v>7</v>
      </c>
      <c r="E21" s="173">
        <v>0</v>
      </c>
      <c r="F21" s="173">
        <v>0</v>
      </c>
      <c r="G21" s="173">
        <v>0</v>
      </c>
      <c r="H21" s="173">
        <v>0</v>
      </c>
      <c r="I21" s="173">
        <v>0</v>
      </c>
      <c r="J21" s="173">
        <v>9</v>
      </c>
      <c r="K21" s="173">
        <v>0</v>
      </c>
      <c r="L21" s="173">
        <v>9</v>
      </c>
      <c r="M21" s="173">
        <v>7</v>
      </c>
      <c r="N21" s="173">
        <v>0</v>
      </c>
      <c r="O21" s="173">
        <v>7</v>
      </c>
      <c r="P21" s="173">
        <f t="shared" si="0"/>
        <v>32</v>
      </c>
      <c r="Q21" s="222"/>
      <c r="R21" s="222"/>
    </row>
    <row r="22" spans="1:18" s="223" customFormat="1" ht="31.5">
      <c r="A22" s="227">
        <v>19</v>
      </c>
      <c r="B22" s="228" t="s">
        <v>331</v>
      </c>
      <c r="C22" s="228" t="s">
        <v>332</v>
      </c>
      <c r="D22" s="176" t="s">
        <v>8</v>
      </c>
      <c r="E22" s="173">
        <v>1</v>
      </c>
      <c r="F22" s="173">
        <v>1</v>
      </c>
      <c r="G22" s="173">
        <v>0</v>
      </c>
      <c r="H22" s="173">
        <v>0</v>
      </c>
      <c r="I22" s="173">
        <v>0</v>
      </c>
      <c r="J22" s="173">
        <v>11</v>
      </c>
      <c r="K22" s="173">
        <v>0</v>
      </c>
      <c r="L22" s="173">
        <v>3</v>
      </c>
      <c r="M22" s="173">
        <v>0</v>
      </c>
      <c r="N22" s="173">
        <v>1</v>
      </c>
      <c r="O22" s="173">
        <v>0</v>
      </c>
      <c r="P22" s="173">
        <f t="shared" si="0"/>
        <v>17</v>
      </c>
      <c r="Q22" s="222"/>
      <c r="R22" s="222"/>
    </row>
    <row r="23" spans="1:18" s="223" customFormat="1" ht="24.6" customHeight="1">
      <c r="A23" s="186"/>
      <c r="B23" s="188"/>
      <c r="C23" s="188"/>
      <c r="D23" s="176" t="s">
        <v>7</v>
      </c>
      <c r="E23" s="173">
        <v>1</v>
      </c>
      <c r="F23" s="173">
        <v>0</v>
      </c>
      <c r="G23" s="173">
        <v>0</v>
      </c>
      <c r="H23" s="173">
        <v>0</v>
      </c>
      <c r="I23" s="173">
        <v>0</v>
      </c>
      <c r="J23" s="173">
        <v>6</v>
      </c>
      <c r="K23" s="173">
        <v>0</v>
      </c>
      <c r="L23" s="173">
        <v>1</v>
      </c>
      <c r="M23" s="173">
        <v>0</v>
      </c>
      <c r="N23" s="173">
        <v>0</v>
      </c>
      <c r="O23" s="173">
        <v>0</v>
      </c>
      <c r="P23" s="173">
        <f t="shared" si="0"/>
        <v>8</v>
      </c>
      <c r="Q23" s="222"/>
      <c r="R23" s="222"/>
    </row>
    <row r="24" spans="1:18" s="225" customFormat="1" ht="15.75">
      <c r="A24" s="230"/>
      <c r="B24" s="231"/>
      <c r="C24" s="232"/>
      <c r="D24" s="233" t="s">
        <v>8</v>
      </c>
      <c r="E24" s="234">
        <f>E3+E5+E7+E9+E11+E13+E16+E18+E20+E22</f>
        <v>19</v>
      </c>
      <c r="F24" s="234">
        <f t="shared" ref="F24:O24" si="1">F3+F5+F7+F9+F11+F13+F16+F18+F20+F22</f>
        <v>5</v>
      </c>
      <c r="G24" s="234">
        <f t="shared" si="1"/>
        <v>0</v>
      </c>
      <c r="H24" s="234">
        <f t="shared" si="1"/>
        <v>1</v>
      </c>
      <c r="I24" s="234">
        <f t="shared" si="1"/>
        <v>3</v>
      </c>
      <c r="J24" s="234">
        <f t="shared" si="1"/>
        <v>40</v>
      </c>
      <c r="K24" s="234">
        <f t="shared" si="1"/>
        <v>6</v>
      </c>
      <c r="L24" s="234">
        <f t="shared" si="1"/>
        <v>45</v>
      </c>
      <c r="M24" s="234">
        <f t="shared" si="1"/>
        <v>17</v>
      </c>
      <c r="N24" s="234">
        <f t="shared" si="1"/>
        <v>13</v>
      </c>
      <c r="O24" s="234">
        <f t="shared" si="1"/>
        <v>32</v>
      </c>
      <c r="P24" s="235">
        <f>SUM(E24:O24)</f>
        <v>181</v>
      </c>
      <c r="Q24" s="224"/>
      <c r="R24" s="224"/>
    </row>
    <row r="25" spans="1:18" s="225" customFormat="1" ht="15.75">
      <c r="A25" s="236"/>
      <c r="B25" s="237"/>
      <c r="C25" s="238" t="s">
        <v>19</v>
      </c>
      <c r="D25" s="233" t="s">
        <v>7</v>
      </c>
      <c r="E25" s="234">
        <f>E4+E6+E8+E10+E12+E15+E14+E17+E19+E21+E23</f>
        <v>11</v>
      </c>
      <c r="F25" s="234">
        <f t="shared" ref="F25:O25" si="2">F4+F6+F8+F10+F12+F15+F14+F17+F19+F21+F23</f>
        <v>4</v>
      </c>
      <c r="G25" s="234">
        <f t="shared" si="2"/>
        <v>2</v>
      </c>
      <c r="H25" s="234">
        <f t="shared" si="2"/>
        <v>8</v>
      </c>
      <c r="I25" s="234">
        <f t="shared" si="2"/>
        <v>0</v>
      </c>
      <c r="J25" s="234">
        <f t="shared" si="2"/>
        <v>19</v>
      </c>
      <c r="K25" s="234">
        <f t="shared" si="2"/>
        <v>5</v>
      </c>
      <c r="L25" s="234">
        <f t="shared" si="2"/>
        <v>12</v>
      </c>
      <c r="M25" s="234">
        <f t="shared" si="2"/>
        <v>14</v>
      </c>
      <c r="N25" s="234">
        <f t="shared" si="2"/>
        <v>6</v>
      </c>
      <c r="O25" s="234">
        <f t="shared" si="2"/>
        <v>10</v>
      </c>
      <c r="P25" s="235">
        <f>SUM(E25:O25)</f>
        <v>91</v>
      </c>
      <c r="Q25" s="224"/>
      <c r="R25" s="224"/>
    </row>
    <row r="26" spans="1:18" s="226" customFormat="1" ht="16.5">
      <c r="A26" s="239"/>
      <c r="B26" s="240"/>
      <c r="C26" s="241"/>
      <c r="D26" s="242" t="s">
        <v>162</v>
      </c>
      <c r="E26" s="243">
        <f>SUM(E24:E25)</f>
        <v>30</v>
      </c>
      <c r="F26" s="243">
        <f t="shared" ref="F26:O26" si="3">SUM(F24:F25)</f>
        <v>9</v>
      </c>
      <c r="G26" s="243">
        <f t="shared" si="3"/>
        <v>2</v>
      </c>
      <c r="H26" s="243">
        <f t="shared" si="3"/>
        <v>9</v>
      </c>
      <c r="I26" s="243">
        <f t="shared" si="3"/>
        <v>3</v>
      </c>
      <c r="J26" s="243">
        <f t="shared" si="3"/>
        <v>59</v>
      </c>
      <c r="K26" s="243">
        <f t="shared" si="3"/>
        <v>11</v>
      </c>
      <c r="L26" s="243">
        <f t="shared" si="3"/>
        <v>57</v>
      </c>
      <c r="M26" s="243">
        <f t="shared" si="3"/>
        <v>31</v>
      </c>
      <c r="N26" s="243">
        <f t="shared" si="3"/>
        <v>19</v>
      </c>
      <c r="O26" s="243">
        <f t="shared" si="3"/>
        <v>42</v>
      </c>
      <c r="P26" s="244">
        <f>SUM(E26:O26)</f>
        <v>272</v>
      </c>
    </row>
    <row r="27" spans="1:18" ht="15.75">
      <c r="A27" s="466" t="s">
        <v>551</v>
      </c>
      <c r="B27" s="466"/>
      <c r="C27" s="466"/>
      <c r="D27" s="46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</row>
  </sheetData>
  <mergeCells count="2">
    <mergeCell ref="A1:P1"/>
    <mergeCell ref="A27:D27"/>
  </mergeCells>
  <pageMargins left="0.16" right="0.17" top="0.4" bottom="0.4" header="0.3" footer="0.3"/>
  <pageSetup orientation="landscape" verticalDpi="0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P71"/>
  <sheetViews>
    <sheetView topLeftCell="A58" workbookViewId="0">
      <selection activeCell="C75" sqref="C75"/>
    </sheetView>
  </sheetViews>
  <sheetFormatPr defaultRowHeight="15"/>
  <cols>
    <col min="1" max="1" width="9.140625" style="270"/>
    <col min="2" max="2" width="9.85546875" style="270" customWidth="1"/>
    <col min="3" max="3" width="23.7109375" style="270" customWidth="1"/>
    <col min="4" max="16" width="9.140625" style="303"/>
    <col min="17" max="16384" width="9.140625" style="270"/>
  </cols>
  <sheetData>
    <row r="1" spans="1:16" ht="15.95" customHeight="1">
      <c r="A1" s="467" t="s">
        <v>542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</row>
    <row r="2" spans="1:16">
      <c r="A2" s="468" t="s">
        <v>333</v>
      </c>
      <c r="B2" s="469" t="s">
        <v>281</v>
      </c>
      <c r="C2" s="468" t="s">
        <v>480</v>
      </c>
      <c r="D2" s="468" t="s">
        <v>334</v>
      </c>
      <c r="E2" s="468" t="s">
        <v>335</v>
      </c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</row>
    <row r="3" spans="1:16">
      <c r="A3" s="468"/>
      <c r="B3" s="470"/>
      <c r="C3" s="468"/>
      <c r="D3" s="468"/>
      <c r="E3" s="271" t="s">
        <v>336</v>
      </c>
      <c r="F3" s="271" t="s">
        <v>337</v>
      </c>
      <c r="G3" s="271" t="s">
        <v>338</v>
      </c>
      <c r="H3" s="271" t="s">
        <v>339</v>
      </c>
      <c r="I3" s="271" t="s">
        <v>340</v>
      </c>
      <c r="J3" s="271" t="s">
        <v>341</v>
      </c>
      <c r="K3" s="271" t="s">
        <v>342</v>
      </c>
      <c r="L3" s="271" t="s">
        <v>343</v>
      </c>
      <c r="M3" s="271" t="s">
        <v>344</v>
      </c>
      <c r="N3" s="271" t="s">
        <v>345</v>
      </c>
      <c r="O3" s="271" t="s">
        <v>346</v>
      </c>
      <c r="P3" s="271" t="s">
        <v>347</v>
      </c>
    </row>
    <row r="4" spans="1:16">
      <c r="A4" s="272" t="s">
        <v>348</v>
      </c>
      <c r="B4" s="273">
        <v>2</v>
      </c>
      <c r="C4" s="273">
        <v>3</v>
      </c>
      <c r="D4" s="273">
        <v>4</v>
      </c>
      <c r="E4" s="273">
        <v>5</v>
      </c>
      <c r="F4" s="273">
        <v>6</v>
      </c>
      <c r="G4" s="273">
        <v>7</v>
      </c>
      <c r="H4" s="273">
        <v>8</v>
      </c>
      <c r="I4" s="273">
        <v>9</v>
      </c>
      <c r="J4" s="273">
        <v>10</v>
      </c>
      <c r="K4" s="273">
        <v>11</v>
      </c>
      <c r="L4" s="273">
        <v>12</v>
      </c>
      <c r="M4" s="273">
        <v>13</v>
      </c>
      <c r="N4" s="273">
        <v>14</v>
      </c>
      <c r="O4" s="273">
        <v>15</v>
      </c>
      <c r="P4" s="273">
        <v>16</v>
      </c>
    </row>
    <row r="5" spans="1:16" ht="18" customHeight="1">
      <c r="A5" s="471" t="s">
        <v>481</v>
      </c>
      <c r="B5" s="474" t="s">
        <v>350</v>
      </c>
      <c r="C5" s="475" t="s">
        <v>349</v>
      </c>
      <c r="D5" s="274" t="s">
        <v>8</v>
      </c>
      <c r="E5" s="275">
        <v>0</v>
      </c>
      <c r="F5" s="275">
        <v>5</v>
      </c>
      <c r="G5" s="275">
        <v>1</v>
      </c>
      <c r="H5" s="275">
        <v>7</v>
      </c>
      <c r="I5" s="275">
        <v>30</v>
      </c>
      <c r="J5" s="275">
        <v>0</v>
      </c>
      <c r="K5" s="275">
        <v>43</v>
      </c>
      <c r="L5" s="275">
        <v>0</v>
      </c>
      <c r="M5" s="275">
        <v>0</v>
      </c>
      <c r="N5" s="275">
        <v>14</v>
      </c>
      <c r="O5" s="275">
        <v>0</v>
      </c>
      <c r="P5" s="276">
        <v>100</v>
      </c>
    </row>
    <row r="6" spans="1:16" ht="18" customHeight="1">
      <c r="A6" s="472"/>
      <c r="B6" s="474"/>
      <c r="C6" s="475"/>
      <c r="D6" s="277" t="s">
        <v>7</v>
      </c>
      <c r="E6" s="275">
        <v>0</v>
      </c>
      <c r="F6" s="275">
        <v>0</v>
      </c>
      <c r="G6" s="275">
        <v>0</v>
      </c>
      <c r="H6" s="275">
        <v>0</v>
      </c>
      <c r="I6" s="275">
        <v>18</v>
      </c>
      <c r="J6" s="275">
        <v>0</v>
      </c>
      <c r="K6" s="275">
        <v>0</v>
      </c>
      <c r="L6" s="275">
        <v>0</v>
      </c>
      <c r="M6" s="275">
        <v>0</v>
      </c>
      <c r="N6" s="275">
        <v>10</v>
      </c>
      <c r="O6" s="275">
        <v>0</v>
      </c>
      <c r="P6" s="276">
        <v>28</v>
      </c>
    </row>
    <row r="7" spans="1:16" ht="18" customHeight="1" thickBot="1">
      <c r="A7" s="473"/>
      <c r="B7" s="474"/>
      <c r="C7" s="475"/>
      <c r="D7" s="276" t="s">
        <v>162</v>
      </c>
      <c r="E7" s="278">
        <v>0</v>
      </c>
      <c r="F7" s="278">
        <v>5</v>
      </c>
      <c r="G7" s="278">
        <v>1</v>
      </c>
      <c r="H7" s="278">
        <v>7</v>
      </c>
      <c r="I7" s="278">
        <v>48</v>
      </c>
      <c r="J7" s="278">
        <v>0</v>
      </c>
      <c r="K7" s="278">
        <v>43</v>
      </c>
      <c r="L7" s="278">
        <v>0</v>
      </c>
      <c r="M7" s="278">
        <v>0</v>
      </c>
      <c r="N7" s="278">
        <v>24</v>
      </c>
      <c r="O7" s="278">
        <v>0</v>
      </c>
      <c r="P7" s="276">
        <v>128</v>
      </c>
    </row>
    <row r="8" spans="1:16">
      <c r="A8" s="474" t="s">
        <v>482</v>
      </c>
      <c r="B8" s="474" t="s">
        <v>352</v>
      </c>
      <c r="C8" s="475" t="s">
        <v>351</v>
      </c>
      <c r="D8" s="279" t="s">
        <v>8</v>
      </c>
      <c r="E8" s="280">
        <v>0</v>
      </c>
      <c r="F8" s="280">
        <v>0</v>
      </c>
      <c r="G8" s="280">
        <v>1</v>
      </c>
      <c r="H8" s="280">
        <v>1</v>
      </c>
      <c r="I8" s="280">
        <v>1</v>
      </c>
      <c r="J8" s="280">
        <v>4</v>
      </c>
      <c r="K8" s="280">
        <v>4</v>
      </c>
      <c r="L8" s="280">
        <v>5</v>
      </c>
      <c r="M8" s="280">
        <v>3</v>
      </c>
      <c r="N8" s="280">
        <v>3</v>
      </c>
      <c r="O8" s="280">
        <v>1</v>
      </c>
      <c r="P8" s="281">
        <v>23</v>
      </c>
    </row>
    <row r="9" spans="1:16">
      <c r="A9" s="474"/>
      <c r="B9" s="474"/>
      <c r="C9" s="475"/>
      <c r="D9" s="274" t="s">
        <v>7</v>
      </c>
      <c r="E9" s="276">
        <v>0</v>
      </c>
      <c r="F9" s="276">
        <v>0</v>
      </c>
      <c r="G9" s="276">
        <v>0</v>
      </c>
      <c r="H9" s="276">
        <v>0</v>
      </c>
      <c r="I9" s="276">
        <v>2</v>
      </c>
      <c r="J9" s="276">
        <v>0</v>
      </c>
      <c r="K9" s="276">
        <v>3</v>
      </c>
      <c r="L9" s="276">
        <v>3</v>
      </c>
      <c r="M9" s="276">
        <v>2</v>
      </c>
      <c r="N9" s="276">
        <v>0</v>
      </c>
      <c r="O9" s="276">
        <v>1</v>
      </c>
      <c r="P9" s="282">
        <v>11</v>
      </c>
    </row>
    <row r="10" spans="1:16" ht="15.75" thickBot="1">
      <c r="A10" s="474"/>
      <c r="B10" s="474"/>
      <c r="C10" s="475"/>
      <c r="D10" s="283" t="s">
        <v>162</v>
      </c>
      <c r="E10" s="283">
        <v>0</v>
      </c>
      <c r="F10" s="283">
        <v>0</v>
      </c>
      <c r="G10" s="283">
        <v>1</v>
      </c>
      <c r="H10" s="283">
        <v>1</v>
      </c>
      <c r="I10" s="283">
        <v>3</v>
      </c>
      <c r="J10" s="283">
        <v>4</v>
      </c>
      <c r="K10" s="283">
        <v>7</v>
      </c>
      <c r="L10" s="283">
        <v>8</v>
      </c>
      <c r="M10" s="283">
        <v>5</v>
      </c>
      <c r="N10" s="283">
        <v>3</v>
      </c>
      <c r="O10" s="283">
        <v>2</v>
      </c>
      <c r="P10" s="283">
        <v>34</v>
      </c>
    </row>
    <row r="11" spans="1:16" ht="26.1" customHeight="1">
      <c r="A11" s="476" t="s">
        <v>483</v>
      </c>
      <c r="B11" s="476" t="s">
        <v>484</v>
      </c>
      <c r="C11" s="477" t="s">
        <v>485</v>
      </c>
      <c r="D11" s="284" t="s">
        <v>8</v>
      </c>
      <c r="E11" s="280">
        <v>0</v>
      </c>
      <c r="F11" s="280">
        <v>3</v>
      </c>
      <c r="G11" s="280">
        <v>0</v>
      </c>
      <c r="H11" s="280">
        <v>2</v>
      </c>
      <c r="I11" s="280">
        <v>1</v>
      </c>
      <c r="J11" s="280">
        <v>1</v>
      </c>
      <c r="K11" s="280">
        <v>1</v>
      </c>
      <c r="L11" s="280">
        <v>0</v>
      </c>
      <c r="M11" s="280">
        <v>1</v>
      </c>
      <c r="N11" s="280">
        <v>3</v>
      </c>
      <c r="O11" s="280">
        <v>3</v>
      </c>
      <c r="P11" s="285">
        <v>15</v>
      </c>
    </row>
    <row r="12" spans="1:16" ht="26.1" customHeight="1">
      <c r="A12" s="476"/>
      <c r="B12" s="476"/>
      <c r="C12" s="478"/>
      <c r="D12" s="286" t="s">
        <v>7</v>
      </c>
      <c r="E12" s="276">
        <v>0</v>
      </c>
      <c r="F12" s="276">
        <v>1</v>
      </c>
      <c r="G12" s="276">
        <v>2</v>
      </c>
      <c r="H12" s="276">
        <v>0</v>
      </c>
      <c r="I12" s="276">
        <v>1</v>
      </c>
      <c r="J12" s="276">
        <v>1</v>
      </c>
      <c r="K12" s="276">
        <v>1</v>
      </c>
      <c r="L12" s="276">
        <v>0</v>
      </c>
      <c r="M12" s="276">
        <v>0</v>
      </c>
      <c r="N12" s="276">
        <v>1</v>
      </c>
      <c r="O12" s="276">
        <v>1</v>
      </c>
      <c r="P12" s="282">
        <v>8</v>
      </c>
    </row>
    <row r="13" spans="1:16" ht="26.1" customHeight="1" thickBot="1">
      <c r="A13" s="476"/>
      <c r="B13" s="476"/>
      <c r="C13" s="479"/>
      <c r="D13" s="287" t="s">
        <v>162</v>
      </c>
      <c r="E13" s="288">
        <v>0</v>
      </c>
      <c r="F13" s="288">
        <v>4</v>
      </c>
      <c r="G13" s="288">
        <v>2</v>
      </c>
      <c r="H13" s="288">
        <v>2</v>
      </c>
      <c r="I13" s="288">
        <v>2</v>
      </c>
      <c r="J13" s="288">
        <v>2</v>
      </c>
      <c r="K13" s="288">
        <v>2</v>
      </c>
      <c r="L13" s="288">
        <v>0</v>
      </c>
      <c r="M13" s="288">
        <v>1</v>
      </c>
      <c r="N13" s="288">
        <v>4</v>
      </c>
      <c r="O13" s="288">
        <v>4</v>
      </c>
      <c r="P13" s="289">
        <v>23</v>
      </c>
    </row>
    <row r="14" spans="1:16" s="290" customFormat="1" ht="15.95" customHeight="1" thickTop="1">
      <c r="A14" s="480" t="s">
        <v>486</v>
      </c>
      <c r="B14" s="480" t="s">
        <v>487</v>
      </c>
      <c r="C14" s="481" t="s">
        <v>488</v>
      </c>
      <c r="D14" s="286" t="s">
        <v>8</v>
      </c>
      <c r="E14" s="276">
        <v>0</v>
      </c>
      <c r="F14" s="276">
        <v>0</v>
      </c>
      <c r="G14" s="276">
        <v>0</v>
      </c>
      <c r="H14" s="276">
        <v>1</v>
      </c>
      <c r="I14" s="276">
        <v>0</v>
      </c>
      <c r="J14" s="276">
        <v>2</v>
      </c>
      <c r="K14" s="276">
        <v>2</v>
      </c>
      <c r="L14" s="276">
        <v>5</v>
      </c>
      <c r="M14" s="276">
        <v>3</v>
      </c>
      <c r="N14" s="276">
        <v>3</v>
      </c>
      <c r="O14" s="276">
        <v>3</v>
      </c>
      <c r="P14" s="276">
        <v>19</v>
      </c>
    </row>
    <row r="15" spans="1:16" s="290" customFormat="1" ht="15.95" customHeight="1">
      <c r="A15" s="480"/>
      <c r="B15" s="480"/>
      <c r="C15" s="482"/>
      <c r="D15" s="286" t="s">
        <v>7</v>
      </c>
      <c r="E15" s="276">
        <v>0</v>
      </c>
      <c r="F15" s="276">
        <v>0</v>
      </c>
      <c r="G15" s="276">
        <v>0</v>
      </c>
      <c r="H15" s="276">
        <v>0</v>
      </c>
      <c r="I15" s="276">
        <v>0</v>
      </c>
      <c r="J15" s="276">
        <v>0</v>
      </c>
      <c r="K15" s="276">
        <v>1</v>
      </c>
      <c r="L15" s="276">
        <v>2</v>
      </c>
      <c r="M15" s="276">
        <v>3</v>
      </c>
      <c r="N15" s="276">
        <v>1</v>
      </c>
      <c r="O15" s="276">
        <v>2</v>
      </c>
      <c r="P15" s="276">
        <v>9</v>
      </c>
    </row>
    <row r="16" spans="1:16" s="290" customFormat="1" ht="15.95" customHeight="1" thickBot="1">
      <c r="A16" s="480"/>
      <c r="B16" s="480"/>
      <c r="C16" s="483"/>
      <c r="D16" s="286" t="s">
        <v>162</v>
      </c>
      <c r="E16" s="276">
        <v>0</v>
      </c>
      <c r="F16" s="276">
        <v>0</v>
      </c>
      <c r="G16" s="276">
        <v>0</v>
      </c>
      <c r="H16" s="276">
        <v>1</v>
      </c>
      <c r="I16" s="276">
        <v>0</v>
      </c>
      <c r="J16" s="276">
        <v>2</v>
      </c>
      <c r="K16" s="276">
        <v>3</v>
      </c>
      <c r="L16" s="276">
        <v>7</v>
      </c>
      <c r="M16" s="276">
        <v>6</v>
      </c>
      <c r="N16" s="276">
        <v>4</v>
      </c>
      <c r="O16" s="276">
        <v>5</v>
      </c>
      <c r="P16" s="276">
        <v>28</v>
      </c>
    </row>
    <row r="17" spans="1:16" ht="15.95" customHeight="1" thickTop="1">
      <c r="A17" s="476" t="s">
        <v>489</v>
      </c>
      <c r="B17" s="476" t="s">
        <v>354</v>
      </c>
      <c r="C17" s="484" t="s">
        <v>353</v>
      </c>
      <c r="D17" s="291" t="s">
        <v>8</v>
      </c>
      <c r="E17" s="280">
        <v>0</v>
      </c>
      <c r="F17" s="280">
        <v>0</v>
      </c>
      <c r="G17" s="280">
        <v>0</v>
      </c>
      <c r="H17" s="280">
        <v>0</v>
      </c>
      <c r="I17" s="280">
        <v>0</v>
      </c>
      <c r="J17" s="280">
        <v>0</v>
      </c>
      <c r="K17" s="280">
        <v>0</v>
      </c>
      <c r="L17" s="280">
        <v>0</v>
      </c>
      <c r="M17" s="280">
        <v>0</v>
      </c>
      <c r="N17" s="280">
        <v>0</v>
      </c>
      <c r="O17" s="280">
        <v>0</v>
      </c>
      <c r="P17" s="285">
        <v>0</v>
      </c>
    </row>
    <row r="18" spans="1:16" ht="15.95" customHeight="1">
      <c r="A18" s="476"/>
      <c r="B18" s="476"/>
      <c r="C18" s="478"/>
      <c r="D18" s="274" t="s">
        <v>7</v>
      </c>
      <c r="E18" s="276">
        <v>0</v>
      </c>
      <c r="F18" s="276">
        <v>0</v>
      </c>
      <c r="G18" s="276">
        <v>0</v>
      </c>
      <c r="H18" s="276">
        <v>0</v>
      </c>
      <c r="I18" s="276">
        <v>0</v>
      </c>
      <c r="J18" s="276">
        <v>0</v>
      </c>
      <c r="K18" s="276">
        <v>0</v>
      </c>
      <c r="L18" s="276">
        <v>0</v>
      </c>
      <c r="M18" s="276">
        <v>0</v>
      </c>
      <c r="N18" s="276">
        <v>0</v>
      </c>
      <c r="O18" s="276">
        <v>0</v>
      </c>
      <c r="P18" s="282">
        <v>0</v>
      </c>
    </row>
    <row r="19" spans="1:16" ht="15.95" customHeight="1" thickBot="1">
      <c r="A19" s="476"/>
      <c r="B19" s="476"/>
      <c r="C19" s="479"/>
      <c r="D19" s="292" t="s">
        <v>162</v>
      </c>
      <c r="E19" s="293">
        <v>0</v>
      </c>
      <c r="F19" s="293">
        <v>0</v>
      </c>
      <c r="G19" s="293">
        <v>0</v>
      </c>
      <c r="H19" s="293">
        <v>0</v>
      </c>
      <c r="I19" s="293">
        <v>0</v>
      </c>
      <c r="J19" s="293">
        <v>0</v>
      </c>
      <c r="K19" s="293">
        <v>0</v>
      </c>
      <c r="L19" s="293">
        <v>0</v>
      </c>
      <c r="M19" s="293">
        <v>0</v>
      </c>
      <c r="N19" s="293">
        <v>0</v>
      </c>
      <c r="O19" s="293">
        <v>0</v>
      </c>
      <c r="P19" s="294">
        <v>0</v>
      </c>
    </row>
    <row r="20" spans="1:16" ht="15.95" customHeight="1">
      <c r="A20" s="476" t="s">
        <v>490</v>
      </c>
      <c r="B20" s="476" t="s">
        <v>356</v>
      </c>
      <c r="C20" s="477" t="s">
        <v>355</v>
      </c>
      <c r="D20" s="284" t="s">
        <v>8</v>
      </c>
      <c r="E20" s="280">
        <v>0</v>
      </c>
      <c r="F20" s="280">
        <v>0</v>
      </c>
      <c r="G20" s="280">
        <v>0</v>
      </c>
      <c r="H20" s="280">
        <v>0</v>
      </c>
      <c r="I20" s="280">
        <v>0</v>
      </c>
      <c r="J20" s="280">
        <v>0</v>
      </c>
      <c r="K20" s="280">
        <v>0</v>
      </c>
      <c r="L20" s="280">
        <v>0</v>
      </c>
      <c r="M20" s="280">
        <v>0</v>
      </c>
      <c r="N20" s="280">
        <v>0</v>
      </c>
      <c r="O20" s="280">
        <v>0</v>
      </c>
      <c r="P20" s="285">
        <v>0</v>
      </c>
    </row>
    <row r="21" spans="1:16" ht="15.95" customHeight="1">
      <c r="A21" s="476"/>
      <c r="B21" s="476"/>
      <c r="C21" s="478"/>
      <c r="D21" s="286" t="s">
        <v>7</v>
      </c>
      <c r="E21" s="276">
        <v>0</v>
      </c>
      <c r="F21" s="276">
        <v>0</v>
      </c>
      <c r="G21" s="276">
        <v>0</v>
      </c>
      <c r="H21" s="276">
        <v>0</v>
      </c>
      <c r="I21" s="276">
        <v>1</v>
      </c>
      <c r="J21" s="276">
        <v>0</v>
      </c>
      <c r="K21" s="276">
        <v>0</v>
      </c>
      <c r="L21" s="276">
        <v>0</v>
      </c>
      <c r="M21" s="276">
        <v>0</v>
      </c>
      <c r="N21" s="276">
        <v>0</v>
      </c>
      <c r="O21" s="276">
        <v>0</v>
      </c>
      <c r="P21" s="282">
        <v>1</v>
      </c>
    </row>
    <row r="22" spans="1:16" ht="15.95" customHeight="1" thickBot="1">
      <c r="A22" s="476"/>
      <c r="B22" s="476"/>
      <c r="C22" s="479"/>
      <c r="D22" s="295" t="s">
        <v>162</v>
      </c>
      <c r="E22" s="293">
        <v>0</v>
      </c>
      <c r="F22" s="293">
        <v>0</v>
      </c>
      <c r="G22" s="293">
        <v>0</v>
      </c>
      <c r="H22" s="293">
        <v>0</v>
      </c>
      <c r="I22" s="293">
        <v>1</v>
      </c>
      <c r="J22" s="293">
        <v>0</v>
      </c>
      <c r="K22" s="293">
        <v>0</v>
      </c>
      <c r="L22" s="293">
        <v>0</v>
      </c>
      <c r="M22" s="293">
        <v>0</v>
      </c>
      <c r="N22" s="293">
        <v>0</v>
      </c>
      <c r="O22" s="293">
        <v>0</v>
      </c>
      <c r="P22" s="294">
        <v>1</v>
      </c>
    </row>
    <row r="23" spans="1:16" ht="15.95" customHeight="1">
      <c r="A23" s="476" t="s">
        <v>491</v>
      </c>
      <c r="B23" s="476" t="s">
        <v>358</v>
      </c>
      <c r="C23" s="477" t="s">
        <v>357</v>
      </c>
      <c r="D23" s="284" t="s">
        <v>8</v>
      </c>
      <c r="E23" s="296">
        <v>0</v>
      </c>
      <c r="F23" s="296">
        <v>0</v>
      </c>
      <c r="G23" s="296">
        <v>0</v>
      </c>
      <c r="H23" s="296">
        <v>0</v>
      </c>
      <c r="I23" s="296">
        <v>0</v>
      </c>
      <c r="J23" s="296">
        <v>0</v>
      </c>
      <c r="K23" s="296">
        <v>0</v>
      </c>
      <c r="L23" s="296">
        <v>0</v>
      </c>
      <c r="M23" s="296">
        <v>0</v>
      </c>
      <c r="N23" s="296">
        <v>0</v>
      </c>
      <c r="O23" s="296">
        <v>0</v>
      </c>
      <c r="P23" s="297">
        <v>0</v>
      </c>
    </row>
    <row r="24" spans="1:16" ht="15.95" customHeight="1">
      <c r="A24" s="476"/>
      <c r="B24" s="476"/>
      <c r="C24" s="478"/>
      <c r="D24" s="286" t="s">
        <v>7</v>
      </c>
      <c r="E24" s="298">
        <v>0</v>
      </c>
      <c r="F24" s="298">
        <v>0</v>
      </c>
      <c r="G24" s="298">
        <v>0</v>
      </c>
      <c r="H24" s="298">
        <v>0</v>
      </c>
      <c r="I24" s="298">
        <v>0</v>
      </c>
      <c r="J24" s="298">
        <v>0</v>
      </c>
      <c r="K24" s="298">
        <v>0</v>
      </c>
      <c r="L24" s="298">
        <v>0</v>
      </c>
      <c r="M24" s="298">
        <v>0</v>
      </c>
      <c r="N24" s="298">
        <v>0</v>
      </c>
      <c r="O24" s="298">
        <v>0</v>
      </c>
      <c r="P24" s="299">
        <v>0</v>
      </c>
    </row>
    <row r="25" spans="1:16" ht="15.95" customHeight="1" thickBot="1">
      <c r="A25" s="476"/>
      <c r="B25" s="476"/>
      <c r="C25" s="479"/>
      <c r="D25" s="295" t="s">
        <v>162</v>
      </c>
      <c r="E25" s="300">
        <v>0</v>
      </c>
      <c r="F25" s="300">
        <v>0</v>
      </c>
      <c r="G25" s="300">
        <v>0</v>
      </c>
      <c r="H25" s="300">
        <v>0</v>
      </c>
      <c r="I25" s="300">
        <v>0</v>
      </c>
      <c r="J25" s="300">
        <v>0</v>
      </c>
      <c r="K25" s="300">
        <v>0</v>
      </c>
      <c r="L25" s="300">
        <v>0</v>
      </c>
      <c r="M25" s="300">
        <v>0</v>
      </c>
      <c r="N25" s="300">
        <v>0</v>
      </c>
      <c r="O25" s="300">
        <v>0</v>
      </c>
      <c r="P25" s="301">
        <v>0</v>
      </c>
    </row>
    <row r="26" spans="1:16" ht="15.95" customHeight="1">
      <c r="A26" s="476" t="s">
        <v>492</v>
      </c>
      <c r="B26" s="476" t="s">
        <v>360</v>
      </c>
      <c r="C26" s="477" t="s">
        <v>359</v>
      </c>
      <c r="D26" s="284" t="s">
        <v>8</v>
      </c>
      <c r="E26" s="296">
        <v>0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6">
        <v>0</v>
      </c>
      <c r="L26" s="296">
        <v>0</v>
      </c>
      <c r="M26" s="296">
        <v>0</v>
      </c>
      <c r="N26" s="296">
        <v>0</v>
      </c>
      <c r="O26" s="296">
        <v>0</v>
      </c>
      <c r="P26" s="297">
        <v>0</v>
      </c>
    </row>
    <row r="27" spans="1:16" ht="15.95" customHeight="1">
      <c r="A27" s="476"/>
      <c r="B27" s="476"/>
      <c r="C27" s="478"/>
      <c r="D27" s="286" t="s">
        <v>7</v>
      </c>
      <c r="E27" s="298">
        <v>0</v>
      </c>
      <c r="F27" s="298">
        <v>0</v>
      </c>
      <c r="G27" s="298">
        <v>0</v>
      </c>
      <c r="H27" s="298">
        <v>0</v>
      </c>
      <c r="I27" s="298">
        <v>0</v>
      </c>
      <c r="J27" s="298">
        <v>0</v>
      </c>
      <c r="K27" s="298">
        <v>0</v>
      </c>
      <c r="L27" s="298">
        <v>0</v>
      </c>
      <c r="M27" s="298">
        <v>0</v>
      </c>
      <c r="N27" s="298">
        <v>0</v>
      </c>
      <c r="O27" s="298">
        <v>0</v>
      </c>
      <c r="P27" s="299">
        <v>0</v>
      </c>
    </row>
    <row r="28" spans="1:16" ht="15.95" customHeight="1" thickBot="1">
      <c r="A28" s="476"/>
      <c r="B28" s="476"/>
      <c r="C28" s="479"/>
      <c r="D28" s="302" t="s">
        <v>162</v>
      </c>
      <c r="E28" s="300">
        <v>0</v>
      </c>
      <c r="F28" s="300">
        <v>0</v>
      </c>
      <c r="G28" s="300">
        <v>0</v>
      </c>
      <c r="H28" s="300">
        <v>0</v>
      </c>
      <c r="I28" s="300">
        <v>0</v>
      </c>
      <c r="J28" s="300">
        <v>0</v>
      </c>
      <c r="K28" s="300">
        <v>0</v>
      </c>
      <c r="L28" s="300">
        <v>0</v>
      </c>
      <c r="M28" s="300">
        <v>0</v>
      </c>
      <c r="N28" s="300">
        <v>0</v>
      </c>
      <c r="O28" s="300">
        <v>0</v>
      </c>
      <c r="P28" s="301">
        <v>0</v>
      </c>
    </row>
    <row r="29" spans="1:16" ht="15.95" customHeight="1">
      <c r="A29" s="476" t="s">
        <v>493</v>
      </c>
      <c r="B29" s="476" t="s">
        <v>362</v>
      </c>
      <c r="C29" s="477" t="s">
        <v>361</v>
      </c>
      <c r="D29" s="284" t="s">
        <v>8</v>
      </c>
      <c r="E29" s="296">
        <v>0</v>
      </c>
      <c r="F29" s="296">
        <v>0</v>
      </c>
      <c r="G29" s="296">
        <v>0</v>
      </c>
      <c r="H29" s="296">
        <v>0</v>
      </c>
      <c r="I29" s="296">
        <v>1</v>
      </c>
      <c r="J29" s="296">
        <v>1</v>
      </c>
      <c r="K29" s="296">
        <v>3</v>
      </c>
      <c r="L29" s="296">
        <v>3</v>
      </c>
      <c r="M29" s="296">
        <v>5</v>
      </c>
      <c r="N29" s="296">
        <v>8</v>
      </c>
      <c r="O29" s="296">
        <v>1</v>
      </c>
      <c r="P29" s="297">
        <v>22</v>
      </c>
    </row>
    <row r="30" spans="1:16" ht="15.95" customHeight="1">
      <c r="A30" s="476"/>
      <c r="B30" s="476"/>
      <c r="C30" s="478"/>
      <c r="D30" s="286" t="s">
        <v>7</v>
      </c>
      <c r="E30" s="298">
        <v>0</v>
      </c>
      <c r="F30" s="298">
        <v>0</v>
      </c>
      <c r="G30" s="298">
        <v>2</v>
      </c>
      <c r="H30" s="298">
        <v>6</v>
      </c>
      <c r="I30" s="298">
        <v>0</v>
      </c>
      <c r="J30" s="298">
        <v>1</v>
      </c>
      <c r="K30" s="298">
        <v>3</v>
      </c>
      <c r="L30" s="298">
        <v>2</v>
      </c>
      <c r="M30" s="298">
        <v>2</v>
      </c>
      <c r="N30" s="298">
        <v>4</v>
      </c>
      <c r="O30" s="298">
        <v>1</v>
      </c>
      <c r="P30" s="299">
        <v>21</v>
      </c>
    </row>
    <row r="31" spans="1:16" ht="15.95" customHeight="1" thickBot="1">
      <c r="A31" s="476"/>
      <c r="B31" s="476"/>
      <c r="C31" s="479"/>
      <c r="D31" s="302" t="s">
        <v>162</v>
      </c>
      <c r="E31" s="300">
        <v>0</v>
      </c>
      <c r="F31" s="300">
        <v>0</v>
      </c>
      <c r="G31" s="300">
        <v>2</v>
      </c>
      <c r="H31" s="300">
        <v>6</v>
      </c>
      <c r="I31" s="300">
        <v>1</v>
      </c>
      <c r="J31" s="300">
        <v>2</v>
      </c>
      <c r="K31" s="300">
        <v>6</v>
      </c>
      <c r="L31" s="300">
        <v>5</v>
      </c>
      <c r="M31" s="300">
        <v>7</v>
      </c>
      <c r="N31" s="300">
        <v>12</v>
      </c>
      <c r="O31" s="300">
        <v>2</v>
      </c>
      <c r="P31" s="301">
        <v>43</v>
      </c>
    </row>
    <row r="32" spans="1:16" ht="15.95" customHeight="1">
      <c r="A32" s="476" t="s">
        <v>494</v>
      </c>
      <c r="B32" s="476" t="s">
        <v>364</v>
      </c>
      <c r="C32" s="477" t="s">
        <v>363</v>
      </c>
      <c r="D32" s="284" t="s">
        <v>8</v>
      </c>
      <c r="E32" s="296">
        <v>5</v>
      </c>
      <c r="F32" s="296">
        <v>4</v>
      </c>
      <c r="G32" s="296">
        <v>0</v>
      </c>
      <c r="H32" s="296">
        <v>1</v>
      </c>
      <c r="I32" s="296">
        <v>0</v>
      </c>
      <c r="J32" s="296">
        <v>0</v>
      </c>
      <c r="K32" s="296">
        <v>0</v>
      </c>
      <c r="L32" s="296">
        <v>3</v>
      </c>
      <c r="M32" s="296">
        <v>0</v>
      </c>
      <c r="N32" s="296">
        <v>2</v>
      </c>
      <c r="O32" s="296">
        <v>0</v>
      </c>
      <c r="P32" s="297">
        <v>15</v>
      </c>
    </row>
    <row r="33" spans="1:16" ht="15.95" customHeight="1">
      <c r="A33" s="476"/>
      <c r="B33" s="476"/>
      <c r="C33" s="478"/>
      <c r="D33" s="286" t="s">
        <v>7</v>
      </c>
      <c r="E33" s="298">
        <v>1</v>
      </c>
      <c r="F33" s="298">
        <v>4</v>
      </c>
      <c r="G33" s="298">
        <v>0</v>
      </c>
      <c r="H33" s="298">
        <v>0</v>
      </c>
      <c r="I33" s="298">
        <v>0</v>
      </c>
      <c r="J33" s="298">
        <v>0</v>
      </c>
      <c r="K33" s="298">
        <v>0</v>
      </c>
      <c r="L33" s="298">
        <v>0</v>
      </c>
      <c r="M33" s="298">
        <v>1</v>
      </c>
      <c r="N33" s="298">
        <v>1</v>
      </c>
      <c r="O33" s="298">
        <v>1</v>
      </c>
      <c r="P33" s="299">
        <v>8</v>
      </c>
    </row>
    <row r="34" spans="1:16" ht="15.95" customHeight="1" thickBot="1">
      <c r="A34" s="476"/>
      <c r="B34" s="476"/>
      <c r="C34" s="479"/>
      <c r="D34" s="302" t="s">
        <v>162</v>
      </c>
      <c r="E34" s="300">
        <v>6</v>
      </c>
      <c r="F34" s="300">
        <v>8</v>
      </c>
      <c r="G34" s="300">
        <v>0</v>
      </c>
      <c r="H34" s="300">
        <v>1</v>
      </c>
      <c r="I34" s="300">
        <v>0</v>
      </c>
      <c r="J34" s="300">
        <v>0</v>
      </c>
      <c r="K34" s="300">
        <v>0</v>
      </c>
      <c r="L34" s="300">
        <v>3</v>
      </c>
      <c r="M34" s="300">
        <v>1</v>
      </c>
      <c r="N34" s="300">
        <v>3</v>
      </c>
      <c r="O34" s="300">
        <v>1</v>
      </c>
      <c r="P34" s="301">
        <v>23</v>
      </c>
    </row>
    <row r="35" spans="1:16" ht="15.95" customHeight="1">
      <c r="A35" s="476" t="s">
        <v>495</v>
      </c>
      <c r="B35" s="476" t="s">
        <v>366</v>
      </c>
      <c r="C35" s="477" t="s">
        <v>365</v>
      </c>
      <c r="D35" s="291" t="s">
        <v>8</v>
      </c>
      <c r="E35" s="296">
        <v>0</v>
      </c>
      <c r="F35" s="296">
        <v>0</v>
      </c>
      <c r="G35" s="296">
        <v>0</v>
      </c>
      <c r="H35" s="296">
        <v>0</v>
      </c>
      <c r="I35" s="296">
        <v>1</v>
      </c>
      <c r="J35" s="296">
        <v>1</v>
      </c>
      <c r="K35" s="296">
        <v>2</v>
      </c>
      <c r="L35" s="296">
        <v>4</v>
      </c>
      <c r="M35" s="296">
        <v>2</v>
      </c>
      <c r="N35" s="296">
        <v>0</v>
      </c>
      <c r="O35" s="296">
        <v>0</v>
      </c>
      <c r="P35" s="297">
        <v>10</v>
      </c>
    </row>
    <row r="36" spans="1:16" ht="15.95" customHeight="1">
      <c r="A36" s="476"/>
      <c r="B36" s="476"/>
      <c r="C36" s="485"/>
      <c r="D36" s="274" t="s">
        <v>7</v>
      </c>
      <c r="E36" s="298">
        <v>0</v>
      </c>
      <c r="F36" s="298">
        <v>0</v>
      </c>
      <c r="G36" s="298">
        <v>0</v>
      </c>
      <c r="H36" s="298">
        <v>0</v>
      </c>
      <c r="I36" s="298">
        <v>0</v>
      </c>
      <c r="J36" s="298">
        <v>1</v>
      </c>
      <c r="K36" s="298">
        <v>1</v>
      </c>
      <c r="L36" s="298">
        <v>0</v>
      </c>
      <c r="M36" s="298">
        <v>1</v>
      </c>
      <c r="N36" s="298">
        <v>1</v>
      </c>
      <c r="O36" s="298">
        <v>0</v>
      </c>
      <c r="P36" s="299">
        <v>4</v>
      </c>
    </row>
    <row r="37" spans="1:16" ht="15.95" customHeight="1" thickBot="1">
      <c r="A37" s="476"/>
      <c r="B37" s="476"/>
      <c r="C37" s="486"/>
      <c r="D37" s="292" t="s">
        <v>162</v>
      </c>
      <c r="E37" s="300">
        <v>0</v>
      </c>
      <c r="F37" s="300">
        <v>0</v>
      </c>
      <c r="G37" s="300">
        <v>0</v>
      </c>
      <c r="H37" s="300">
        <v>0</v>
      </c>
      <c r="I37" s="300">
        <v>1</v>
      </c>
      <c r="J37" s="300">
        <v>2</v>
      </c>
      <c r="K37" s="300">
        <v>3</v>
      </c>
      <c r="L37" s="300">
        <v>4</v>
      </c>
      <c r="M37" s="300">
        <v>3</v>
      </c>
      <c r="N37" s="300">
        <v>1</v>
      </c>
      <c r="O37" s="300">
        <v>0</v>
      </c>
      <c r="P37" s="301">
        <v>14</v>
      </c>
    </row>
    <row r="38" spans="1:16" ht="15.95" customHeight="1">
      <c r="A38" s="476" t="s">
        <v>496</v>
      </c>
      <c r="B38" s="476" t="s">
        <v>497</v>
      </c>
      <c r="C38" s="477" t="s">
        <v>498</v>
      </c>
      <c r="D38" s="291" t="s">
        <v>8</v>
      </c>
      <c r="E38" s="296">
        <v>0</v>
      </c>
      <c r="F38" s="296">
        <v>0</v>
      </c>
      <c r="G38" s="296">
        <v>0</v>
      </c>
      <c r="H38" s="296">
        <v>0</v>
      </c>
      <c r="I38" s="296">
        <v>0</v>
      </c>
      <c r="J38" s="296">
        <v>0</v>
      </c>
      <c r="K38" s="296">
        <v>0</v>
      </c>
      <c r="L38" s="296">
        <v>0</v>
      </c>
      <c r="M38" s="296">
        <v>0</v>
      </c>
      <c r="N38" s="296">
        <v>0</v>
      </c>
      <c r="O38" s="296">
        <v>0</v>
      </c>
      <c r="P38" s="297">
        <v>0</v>
      </c>
    </row>
    <row r="39" spans="1:16" ht="15.95" customHeight="1">
      <c r="A39" s="476"/>
      <c r="B39" s="476"/>
      <c r="C39" s="478"/>
      <c r="D39" s="274" t="s">
        <v>7</v>
      </c>
      <c r="E39" s="298">
        <v>0</v>
      </c>
      <c r="F39" s="298">
        <v>0</v>
      </c>
      <c r="G39" s="298">
        <v>0</v>
      </c>
      <c r="H39" s="298">
        <v>0</v>
      </c>
      <c r="I39" s="298">
        <v>0</v>
      </c>
      <c r="J39" s="298">
        <v>0</v>
      </c>
      <c r="K39" s="298">
        <v>0</v>
      </c>
      <c r="L39" s="298">
        <v>0</v>
      </c>
      <c r="M39" s="298">
        <v>0</v>
      </c>
      <c r="N39" s="298">
        <v>0</v>
      </c>
      <c r="O39" s="298">
        <v>0</v>
      </c>
      <c r="P39" s="299">
        <v>0</v>
      </c>
    </row>
    <row r="40" spans="1:16" ht="15.95" customHeight="1" thickBot="1">
      <c r="A40" s="476"/>
      <c r="B40" s="476"/>
      <c r="C40" s="479"/>
      <c r="D40" s="292" t="s">
        <v>162</v>
      </c>
      <c r="E40" s="300">
        <v>0</v>
      </c>
      <c r="F40" s="300">
        <v>0</v>
      </c>
      <c r="G40" s="300">
        <v>0</v>
      </c>
      <c r="H40" s="300">
        <v>0</v>
      </c>
      <c r="I40" s="300">
        <v>0</v>
      </c>
      <c r="J40" s="300">
        <v>0</v>
      </c>
      <c r="K40" s="300">
        <v>0</v>
      </c>
      <c r="L40" s="300">
        <v>0</v>
      </c>
      <c r="M40" s="300">
        <v>0</v>
      </c>
      <c r="N40" s="300">
        <v>0</v>
      </c>
      <c r="O40" s="300">
        <v>0</v>
      </c>
      <c r="P40" s="301">
        <v>0</v>
      </c>
    </row>
    <row r="41" spans="1:16" ht="18" customHeight="1">
      <c r="A41" s="476" t="s">
        <v>499</v>
      </c>
      <c r="B41" s="476" t="s">
        <v>500</v>
      </c>
      <c r="C41" s="477" t="s">
        <v>501</v>
      </c>
      <c r="D41" s="291" t="s">
        <v>8</v>
      </c>
      <c r="E41" s="296">
        <v>0</v>
      </c>
      <c r="F41" s="296">
        <v>0</v>
      </c>
      <c r="G41" s="296">
        <v>0</v>
      </c>
      <c r="H41" s="296">
        <v>0</v>
      </c>
      <c r="I41" s="296">
        <v>0</v>
      </c>
      <c r="J41" s="296">
        <v>0</v>
      </c>
      <c r="K41" s="296">
        <v>0</v>
      </c>
      <c r="L41" s="296">
        <v>0</v>
      </c>
      <c r="M41" s="296">
        <v>0</v>
      </c>
      <c r="N41" s="296">
        <v>0</v>
      </c>
      <c r="O41" s="296">
        <v>0</v>
      </c>
      <c r="P41" s="297">
        <v>0</v>
      </c>
    </row>
    <row r="42" spans="1:16" ht="18" customHeight="1">
      <c r="A42" s="476"/>
      <c r="B42" s="476"/>
      <c r="C42" s="478"/>
      <c r="D42" s="274" t="s">
        <v>7</v>
      </c>
      <c r="E42" s="298">
        <v>0</v>
      </c>
      <c r="F42" s="298">
        <v>0</v>
      </c>
      <c r="G42" s="298">
        <v>0</v>
      </c>
      <c r="H42" s="298">
        <v>0</v>
      </c>
      <c r="I42" s="298">
        <v>0</v>
      </c>
      <c r="J42" s="298">
        <v>0</v>
      </c>
      <c r="K42" s="298">
        <v>0</v>
      </c>
      <c r="L42" s="298">
        <v>0</v>
      </c>
      <c r="M42" s="298">
        <v>0</v>
      </c>
      <c r="N42" s="298">
        <v>0</v>
      </c>
      <c r="O42" s="298">
        <v>0</v>
      </c>
      <c r="P42" s="299">
        <v>0</v>
      </c>
    </row>
    <row r="43" spans="1:16" ht="18" customHeight="1" thickBot="1">
      <c r="A43" s="476"/>
      <c r="B43" s="476"/>
      <c r="C43" s="479"/>
      <c r="D43" s="292" t="s">
        <v>162</v>
      </c>
      <c r="E43" s="300">
        <v>0</v>
      </c>
      <c r="F43" s="300">
        <v>0</v>
      </c>
      <c r="G43" s="300">
        <v>0</v>
      </c>
      <c r="H43" s="300">
        <v>0</v>
      </c>
      <c r="I43" s="300">
        <v>0</v>
      </c>
      <c r="J43" s="300">
        <v>0</v>
      </c>
      <c r="K43" s="300">
        <v>0</v>
      </c>
      <c r="L43" s="300">
        <v>0</v>
      </c>
      <c r="M43" s="300">
        <v>0</v>
      </c>
      <c r="N43" s="300">
        <v>0</v>
      </c>
      <c r="O43" s="300">
        <v>0</v>
      </c>
      <c r="P43" s="301">
        <v>0</v>
      </c>
    </row>
    <row r="44" spans="1:16">
      <c r="A44" s="476" t="s">
        <v>502</v>
      </c>
      <c r="B44" s="476" t="s">
        <v>368</v>
      </c>
      <c r="C44" s="477" t="s">
        <v>367</v>
      </c>
      <c r="D44" s="291" t="s">
        <v>8</v>
      </c>
      <c r="E44" s="296">
        <v>0</v>
      </c>
      <c r="F44" s="296">
        <v>0</v>
      </c>
      <c r="G44" s="296">
        <v>0</v>
      </c>
      <c r="H44" s="296">
        <v>0</v>
      </c>
      <c r="I44" s="296">
        <v>1</v>
      </c>
      <c r="J44" s="296">
        <v>1</v>
      </c>
      <c r="K44" s="296">
        <v>1</v>
      </c>
      <c r="L44" s="296">
        <v>3</v>
      </c>
      <c r="M44" s="296">
        <v>1</v>
      </c>
      <c r="N44" s="296">
        <v>2</v>
      </c>
      <c r="O44" s="296">
        <v>1</v>
      </c>
      <c r="P44" s="297">
        <v>10</v>
      </c>
    </row>
    <row r="45" spans="1:16">
      <c r="A45" s="476"/>
      <c r="B45" s="476"/>
      <c r="C45" s="478"/>
      <c r="D45" s="274" t="s">
        <v>7</v>
      </c>
      <c r="E45" s="298">
        <v>0</v>
      </c>
      <c r="F45" s="298">
        <v>0</v>
      </c>
      <c r="G45" s="298">
        <v>0</v>
      </c>
      <c r="H45" s="298">
        <v>0</v>
      </c>
      <c r="I45" s="298">
        <v>0</v>
      </c>
      <c r="J45" s="298">
        <v>0</v>
      </c>
      <c r="K45" s="298">
        <v>1</v>
      </c>
      <c r="L45" s="298">
        <v>0</v>
      </c>
      <c r="M45" s="298">
        <v>3</v>
      </c>
      <c r="N45" s="298">
        <v>0</v>
      </c>
      <c r="O45" s="298">
        <v>1</v>
      </c>
      <c r="P45" s="299">
        <v>5</v>
      </c>
    </row>
    <row r="46" spans="1:16" ht="15.75" thickBot="1">
      <c r="A46" s="476"/>
      <c r="B46" s="476"/>
      <c r="C46" s="479"/>
      <c r="D46" s="292" t="s">
        <v>162</v>
      </c>
      <c r="E46" s="300">
        <v>0</v>
      </c>
      <c r="F46" s="300">
        <v>0</v>
      </c>
      <c r="G46" s="300">
        <v>0</v>
      </c>
      <c r="H46" s="300">
        <v>0</v>
      </c>
      <c r="I46" s="300">
        <v>1</v>
      </c>
      <c r="J46" s="300">
        <v>1</v>
      </c>
      <c r="K46" s="300">
        <v>2</v>
      </c>
      <c r="L46" s="300">
        <v>3</v>
      </c>
      <c r="M46" s="300">
        <v>4</v>
      </c>
      <c r="N46" s="300">
        <v>2</v>
      </c>
      <c r="O46" s="300">
        <v>2</v>
      </c>
      <c r="P46" s="301">
        <v>15</v>
      </c>
    </row>
    <row r="47" spans="1:16">
      <c r="A47" s="476" t="s">
        <v>503</v>
      </c>
      <c r="B47" s="476" t="s">
        <v>504</v>
      </c>
      <c r="C47" s="477" t="s">
        <v>505</v>
      </c>
      <c r="D47" s="291" t="s">
        <v>8</v>
      </c>
      <c r="E47" s="487"/>
      <c r="F47" s="488"/>
      <c r="G47" s="488"/>
      <c r="H47" s="488"/>
      <c r="I47" s="488"/>
      <c r="J47" s="488"/>
      <c r="K47" s="488"/>
      <c r="L47" s="488"/>
      <c r="M47" s="488"/>
      <c r="N47" s="488"/>
      <c r="O47" s="488"/>
      <c r="P47" s="489"/>
    </row>
    <row r="48" spans="1:16">
      <c r="A48" s="476"/>
      <c r="B48" s="476"/>
      <c r="C48" s="478"/>
      <c r="D48" s="274" t="s">
        <v>7</v>
      </c>
      <c r="E48" s="298">
        <v>0</v>
      </c>
      <c r="F48" s="298">
        <v>0</v>
      </c>
      <c r="G48" s="298">
        <v>0</v>
      </c>
      <c r="H48" s="298">
        <v>2</v>
      </c>
      <c r="I48" s="298">
        <v>0</v>
      </c>
      <c r="J48" s="298">
        <v>0</v>
      </c>
      <c r="K48" s="298">
        <v>0</v>
      </c>
      <c r="L48" s="298">
        <v>0</v>
      </c>
      <c r="M48" s="298">
        <v>0</v>
      </c>
      <c r="N48" s="298">
        <v>0</v>
      </c>
      <c r="O48" s="298">
        <v>0</v>
      </c>
      <c r="P48" s="299">
        <v>2</v>
      </c>
    </row>
    <row r="49" spans="1:16" ht="15.75" thickBot="1">
      <c r="A49" s="476"/>
      <c r="B49" s="476"/>
      <c r="C49" s="479"/>
      <c r="D49" s="292" t="s">
        <v>162</v>
      </c>
      <c r="E49" s="300">
        <v>0</v>
      </c>
      <c r="F49" s="300">
        <v>0</v>
      </c>
      <c r="G49" s="300">
        <v>0</v>
      </c>
      <c r="H49" s="300">
        <v>2</v>
      </c>
      <c r="I49" s="300">
        <v>0</v>
      </c>
      <c r="J49" s="300">
        <v>0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1">
        <v>2</v>
      </c>
    </row>
    <row r="50" spans="1:16">
      <c r="A50" s="476" t="s">
        <v>506</v>
      </c>
      <c r="B50" s="476" t="s">
        <v>507</v>
      </c>
      <c r="C50" s="477" t="s">
        <v>508</v>
      </c>
      <c r="D50" s="291" t="s">
        <v>8</v>
      </c>
      <c r="E50" s="296">
        <v>13</v>
      </c>
      <c r="F50" s="296">
        <v>0</v>
      </c>
      <c r="G50" s="296">
        <v>0</v>
      </c>
      <c r="H50" s="296">
        <v>0</v>
      </c>
      <c r="I50" s="296">
        <v>0</v>
      </c>
      <c r="J50" s="296">
        <v>0</v>
      </c>
      <c r="K50" s="296">
        <v>0</v>
      </c>
      <c r="L50" s="296">
        <v>0</v>
      </c>
      <c r="M50" s="296">
        <v>0</v>
      </c>
      <c r="N50" s="296">
        <v>0</v>
      </c>
      <c r="O50" s="296">
        <v>0</v>
      </c>
      <c r="P50" s="297">
        <v>13</v>
      </c>
    </row>
    <row r="51" spans="1:16">
      <c r="A51" s="476"/>
      <c r="B51" s="476"/>
      <c r="C51" s="478"/>
      <c r="D51" s="274" t="s">
        <v>7</v>
      </c>
      <c r="E51" s="298">
        <v>9</v>
      </c>
      <c r="F51" s="298">
        <v>0</v>
      </c>
      <c r="G51" s="298">
        <v>0</v>
      </c>
      <c r="H51" s="298">
        <v>0</v>
      </c>
      <c r="I51" s="298">
        <v>0</v>
      </c>
      <c r="J51" s="298">
        <v>0</v>
      </c>
      <c r="K51" s="298">
        <v>0</v>
      </c>
      <c r="L51" s="298">
        <v>0</v>
      </c>
      <c r="M51" s="298">
        <v>0</v>
      </c>
      <c r="N51" s="298">
        <v>0</v>
      </c>
      <c r="O51" s="298">
        <v>0</v>
      </c>
      <c r="P51" s="299">
        <v>9</v>
      </c>
    </row>
    <row r="52" spans="1:16" ht="15.75" thickBot="1">
      <c r="A52" s="476"/>
      <c r="B52" s="476"/>
      <c r="C52" s="479"/>
      <c r="D52" s="292" t="s">
        <v>162</v>
      </c>
      <c r="E52" s="300">
        <v>22</v>
      </c>
      <c r="F52" s="300">
        <v>0</v>
      </c>
      <c r="G52" s="300">
        <v>0</v>
      </c>
      <c r="H52" s="300">
        <v>0</v>
      </c>
      <c r="I52" s="300">
        <v>0</v>
      </c>
      <c r="J52" s="300">
        <v>0</v>
      </c>
      <c r="K52" s="300">
        <v>0</v>
      </c>
      <c r="L52" s="300">
        <v>0</v>
      </c>
      <c r="M52" s="300">
        <v>0</v>
      </c>
      <c r="N52" s="300">
        <v>0</v>
      </c>
      <c r="O52" s="300">
        <v>0</v>
      </c>
      <c r="P52" s="301">
        <v>22</v>
      </c>
    </row>
    <row r="53" spans="1:16" ht="18" customHeight="1">
      <c r="A53" s="476" t="s">
        <v>509</v>
      </c>
      <c r="B53" s="476" t="s">
        <v>510</v>
      </c>
      <c r="C53" s="477" t="s">
        <v>511</v>
      </c>
      <c r="D53" s="291" t="s">
        <v>8</v>
      </c>
      <c r="E53" s="296">
        <v>0</v>
      </c>
      <c r="F53" s="296">
        <v>0</v>
      </c>
      <c r="G53" s="296">
        <v>0</v>
      </c>
      <c r="H53" s="296">
        <v>0</v>
      </c>
      <c r="I53" s="296">
        <v>0</v>
      </c>
      <c r="J53" s="296">
        <v>3</v>
      </c>
      <c r="K53" s="296">
        <v>0</v>
      </c>
      <c r="L53" s="296">
        <v>3</v>
      </c>
      <c r="M53" s="296">
        <v>0</v>
      </c>
      <c r="N53" s="296">
        <v>0</v>
      </c>
      <c r="O53" s="296">
        <v>2</v>
      </c>
      <c r="P53" s="297">
        <v>8</v>
      </c>
    </row>
    <row r="54" spans="1:16" ht="18" customHeight="1">
      <c r="A54" s="476"/>
      <c r="B54" s="476"/>
      <c r="C54" s="478"/>
      <c r="D54" s="274" t="s">
        <v>7</v>
      </c>
      <c r="E54" s="298">
        <v>0</v>
      </c>
      <c r="F54" s="298">
        <v>0</v>
      </c>
      <c r="G54" s="298">
        <v>0</v>
      </c>
      <c r="H54" s="298">
        <v>0</v>
      </c>
      <c r="I54" s="298">
        <v>0</v>
      </c>
      <c r="J54" s="298">
        <v>2</v>
      </c>
      <c r="K54" s="298">
        <v>0</v>
      </c>
      <c r="L54" s="298">
        <v>0</v>
      </c>
      <c r="M54" s="298">
        <v>0</v>
      </c>
      <c r="N54" s="298">
        <v>0</v>
      </c>
      <c r="O54" s="298">
        <v>0</v>
      </c>
      <c r="P54" s="299">
        <v>2</v>
      </c>
    </row>
    <row r="55" spans="1:16" ht="18" customHeight="1" thickBot="1">
      <c r="A55" s="476"/>
      <c r="B55" s="476"/>
      <c r="C55" s="479"/>
      <c r="D55" s="292" t="s">
        <v>162</v>
      </c>
      <c r="E55" s="300">
        <v>0</v>
      </c>
      <c r="F55" s="300">
        <v>0</v>
      </c>
      <c r="G55" s="300">
        <v>0</v>
      </c>
      <c r="H55" s="300">
        <v>0</v>
      </c>
      <c r="I55" s="300">
        <v>0</v>
      </c>
      <c r="J55" s="300">
        <v>5</v>
      </c>
      <c r="K55" s="300">
        <v>0</v>
      </c>
      <c r="L55" s="300">
        <v>3</v>
      </c>
      <c r="M55" s="300">
        <v>0</v>
      </c>
      <c r="N55" s="300">
        <v>0</v>
      </c>
      <c r="O55" s="300">
        <v>2</v>
      </c>
      <c r="P55" s="301">
        <v>10</v>
      </c>
    </row>
    <row r="56" spans="1:16" ht="18" customHeight="1">
      <c r="A56" s="476" t="s">
        <v>512</v>
      </c>
      <c r="B56" s="476" t="s">
        <v>513</v>
      </c>
      <c r="C56" s="490" t="s">
        <v>514</v>
      </c>
      <c r="D56" s="291" t="s">
        <v>8</v>
      </c>
      <c r="E56" s="296">
        <v>0</v>
      </c>
      <c r="F56" s="296">
        <v>0</v>
      </c>
      <c r="G56" s="296">
        <v>0</v>
      </c>
      <c r="H56" s="296">
        <v>0</v>
      </c>
      <c r="I56" s="296">
        <v>0</v>
      </c>
      <c r="J56" s="296">
        <v>23</v>
      </c>
      <c r="K56" s="296">
        <v>0</v>
      </c>
      <c r="L56" s="296">
        <v>26</v>
      </c>
      <c r="M56" s="296">
        <v>9</v>
      </c>
      <c r="N56" s="296">
        <v>0</v>
      </c>
      <c r="O56" s="296">
        <v>28</v>
      </c>
      <c r="P56" s="297">
        <v>86</v>
      </c>
    </row>
    <row r="57" spans="1:16" ht="18" customHeight="1">
      <c r="A57" s="476"/>
      <c r="B57" s="476"/>
      <c r="C57" s="491"/>
      <c r="D57" s="274" t="s">
        <v>7</v>
      </c>
      <c r="E57" s="298">
        <v>0</v>
      </c>
      <c r="F57" s="298">
        <v>0</v>
      </c>
      <c r="G57" s="298">
        <v>0</v>
      </c>
      <c r="H57" s="298">
        <v>0</v>
      </c>
      <c r="I57" s="298">
        <v>0</v>
      </c>
      <c r="J57" s="298">
        <v>9</v>
      </c>
      <c r="K57" s="298">
        <v>0</v>
      </c>
      <c r="L57" s="298">
        <v>9</v>
      </c>
      <c r="M57" s="298">
        <v>7</v>
      </c>
      <c r="N57" s="298">
        <v>0</v>
      </c>
      <c r="O57" s="298">
        <v>7</v>
      </c>
      <c r="P57" s="299">
        <v>32</v>
      </c>
    </row>
    <row r="58" spans="1:16" ht="18" customHeight="1" thickBot="1">
      <c r="A58" s="476"/>
      <c r="B58" s="476"/>
      <c r="C58" s="492"/>
      <c r="D58" s="292" t="s">
        <v>162</v>
      </c>
      <c r="E58" s="300">
        <v>0</v>
      </c>
      <c r="F58" s="300">
        <v>0</v>
      </c>
      <c r="G58" s="300">
        <v>0</v>
      </c>
      <c r="H58" s="300">
        <v>0</v>
      </c>
      <c r="I58" s="300">
        <v>0</v>
      </c>
      <c r="J58" s="300">
        <v>32</v>
      </c>
      <c r="K58" s="300">
        <v>0</v>
      </c>
      <c r="L58" s="300">
        <v>35</v>
      </c>
      <c r="M58" s="300">
        <v>16</v>
      </c>
      <c r="N58" s="300">
        <v>0</v>
      </c>
      <c r="O58" s="300">
        <v>35</v>
      </c>
      <c r="P58" s="301">
        <v>118</v>
      </c>
    </row>
    <row r="59" spans="1:16" ht="18" customHeight="1">
      <c r="A59" s="476" t="s">
        <v>515</v>
      </c>
      <c r="B59" s="476" t="s">
        <v>516</v>
      </c>
      <c r="C59" s="477" t="s">
        <v>517</v>
      </c>
      <c r="D59" s="291" t="s">
        <v>8</v>
      </c>
      <c r="E59" s="296">
        <v>1</v>
      </c>
      <c r="F59" s="296">
        <v>1</v>
      </c>
      <c r="G59" s="296">
        <v>0</v>
      </c>
      <c r="H59" s="296">
        <v>0</v>
      </c>
      <c r="I59" s="296">
        <v>0</v>
      </c>
      <c r="J59" s="296">
        <v>11</v>
      </c>
      <c r="K59" s="296">
        <v>0</v>
      </c>
      <c r="L59" s="296">
        <v>3</v>
      </c>
      <c r="M59" s="296">
        <v>0</v>
      </c>
      <c r="N59" s="296">
        <v>1</v>
      </c>
      <c r="O59" s="296">
        <v>0</v>
      </c>
      <c r="P59" s="297">
        <v>17</v>
      </c>
    </row>
    <row r="60" spans="1:16" ht="18" customHeight="1">
      <c r="A60" s="476"/>
      <c r="B60" s="476"/>
      <c r="C60" s="478"/>
      <c r="D60" s="274" t="s">
        <v>7</v>
      </c>
      <c r="E60" s="298">
        <v>1</v>
      </c>
      <c r="F60" s="298">
        <v>0</v>
      </c>
      <c r="G60" s="298">
        <v>0</v>
      </c>
      <c r="H60" s="298">
        <v>0</v>
      </c>
      <c r="I60" s="298">
        <v>0</v>
      </c>
      <c r="J60" s="298">
        <v>6</v>
      </c>
      <c r="K60" s="298">
        <v>0</v>
      </c>
      <c r="L60" s="298">
        <v>1</v>
      </c>
      <c r="M60" s="298">
        <v>0</v>
      </c>
      <c r="N60" s="298">
        <v>0</v>
      </c>
      <c r="O60" s="298">
        <v>0</v>
      </c>
      <c r="P60" s="299">
        <v>8</v>
      </c>
    </row>
    <row r="61" spans="1:16" ht="18" customHeight="1" thickBot="1">
      <c r="A61" s="476"/>
      <c r="B61" s="476"/>
      <c r="C61" s="479"/>
      <c r="D61" s="292" t="s">
        <v>162</v>
      </c>
      <c r="E61" s="300">
        <v>2</v>
      </c>
      <c r="F61" s="300">
        <v>1</v>
      </c>
      <c r="G61" s="300">
        <v>0</v>
      </c>
      <c r="H61" s="300">
        <v>0</v>
      </c>
      <c r="I61" s="300">
        <v>0</v>
      </c>
      <c r="J61" s="300">
        <v>17</v>
      </c>
      <c r="K61" s="300">
        <v>0</v>
      </c>
      <c r="L61" s="300">
        <v>4</v>
      </c>
      <c r="M61" s="300">
        <v>0</v>
      </c>
      <c r="N61" s="300">
        <v>1</v>
      </c>
      <c r="O61" s="300">
        <v>0</v>
      </c>
      <c r="P61" s="301">
        <v>25</v>
      </c>
    </row>
    <row r="62" spans="1:16">
      <c r="A62" s="476" t="s">
        <v>518</v>
      </c>
      <c r="B62" s="476" t="s">
        <v>519</v>
      </c>
      <c r="C62" s="477" t="s">
        <v>520</v>
      </c>
      <c r="D62" s="291" t="s">
        <v>8</v>
      </c>
      <c r="E62" s="296">
        <v>0</v>
      </c>
      <c r="F62" s="296">
        <v>0</v>
      </c>
      <c r="G62" s="296">
        <v>0</v>
      </c>
      <c r="H62" s="296">
        <v>0</v>
      </c>
      <c r="I62" s="296">
        <v>0</v>
      </c>
      <c r="J62" s="296">
        <v>10</v>
      </c>
      <c r="K62" s="296">
        <v>0</v>
      </c>
      <c r="L62" s="296">
        <v>11</v>
      </c>
      <c r="M62" s="296">
        <v>3</v>
      </c>
      <c r="N62" s="296">
        <v>0</v>
      </c>
      <c r="O62" s="296">
        <v>0</v>
      </c>
      <c r="P62" s="297">
        <v>24</v>
      </c>
    </row>
    <row r="63" spans="1:16">
      <c r="A63" s="476"/>
      <c r="B63" s="476"/>
      <c r="C63" s="478"/>
      <c r="D63" s="274" t="s">
        <v>7</v>
      </c>
      <c r="E63" s="298">
        <v>0</v>
      </c>
      <c r="F63" s="298">
        <v>0</v>
      </c>
      <c r="G63" s="298">
        <v>0</v>
      </c>
      <c r="H63" s="298">
        <v>0</v>
      </c>
      <c r="I63" s="298">
        <v>0</v>
      </c>
      <c r="J63" s="298">
        <v>4</v>
      </c>
      <c r="K63" s="298">
        <v>0</v>
      </c>
      <c r="L63" s="298">
        <v>4</v>
      </c>
      <c r="M63" s="298">
        <v>1</v>
      </c>
      <c r="N63" s="298">
        <v>0</v>
      </c>
      <c r="O63" s="298">
        <v>0</v>
      </c>
      <c r="P63" s="299">
        <v>9</v>
      </c>
    </row>
    <row r="64" spans="1:16" ht="15.75" thickBot="1">
      <c r="A64" s="476"/>
      <c r="B64" s="476"/>
      <c r="C64" s="479"/>
      <c r="D64" s="292" t="s">
        <v>162</v>
      </c>
      <c r="E64" s="300">
        <v>0</v>
      </c>
      <c r="F64" s="300">
        <v>0</v>
      </c>
      <c r="G64" s="300">
        <v>0</v>
      </c>
      <c r="H64" s="300">
        <v>0</v>
      </c>
      <c r="I64" s="300">
        <v>0</v>
      </c>
      <c r="J64" s="300">
        <v>14</v>
      </c>
      <c r="K64" s="300">
        <v>0</v>
      </c>
      <c r="L64" s="300">
        <v>15</v>
      </c>
      <c r="M64" s="300">
        <v>4</v>
      </c>
      <c r="N64" s="300">
        <v>0</v>
      </c>
      <c r="O64" s="300">
        <v>0</v>
      </c>
      <c r="P64" s="301">
        <v>33</v>
      </c>
    </row>
    <row r="65" spans="1:16">
      <c r="A65" s="493" t="s">
        <v>521</v>
      </c>
      <c r="B65" s="496"/>
      <c r="C65" s="477" t="s">
        <v>369</v>
      </c>
      <c r="D65" s="291" t="s">
        <v>8</v>
      </c>
      <c r="E65" s="296">
        <v>19</v>
      </c>
      <c r="F65" s="296">
        <v>13</v>
      </c>
      <c r="G65" s="296">
        <v>2</v>
      </c>
      <c r="H65" s="296">
        <v>12</v>
      </c>
      <c r="I65" s="296">
        <v>35</v>
      </c>
      <c r="J65" s="296">
        <v>47</v>
      </c>
      <c r="K65" s="296">
        <v>56</v>
      </c>
      <c r="L65" s="296">
        <v>55</v>
      </c>
      <c r="M65" s="296">
        <v>24</v>
      </c>
      <c r="N65" s="296">
        <v>36</v>
      </c>
      <c r="O65" s="296">
        <v>39</v>
      </c>
      <c r="P65" s="297">
        <v>338</v>
      </c>
    </row>
    <row r="66" spans="1:16">
      <c r="A66" s="494"/>
      <c r="B66" s="497"/>
      <c r="C66" s="478"/>
      <c r="D66" s="274" t="s">
        <v>7</v>
      </c>
      <c r="E66" s="298">
        <v>11</v>
      </c>
      <c r="F66" s="298">
        <v>5</v>
      </c>
      <c r="G66" s="298">
        <v>4</v>
      </c>
      <c r="H66" s="298">
        <v>8</v>
      </c>
      <c r="I66" s="298">
        <v>22</v>
      </c>
      <c r="J66" s="298">
        <v>20</v>
      </c>
      <c r="K66" s="298">
        <v>10</v>
      </c>
      <c r="L66" s="298">
        <v>17</v>
      </c>
      <c r="M66" s="298">
        <v>19</v>
      </c>
      <c r="N66" s="298">
        <v>18</v>
      </c>
      <c r="O66" s="298">
        <v>14</v>
      </c>
      <c r="P66" s="299">
        <v>148</v>
      </c>
    </row>
    <row r="67" spans="1:16" ht="15.75" thickBot="1">
      <c r="A67" s="494"/>
      <c r="B67" s="497"/>
      <c r="C67" s="479"/>
      <c r="D67" s="292" t="s">
        <v>162</v>
      </c>
      <c r="E67" s="300">
        <v>30</v>
      </c>
      <c r="F67" s="300">
        <v>18</v>
      </c>
      <c r="G67" s="300">
        <v>6</v>
      </c>
      <c r="H67" s="300">
        <v>20</v>
      </c>
      <c r="I67" s="300">
        <v>57</v>
      </c>
      <c r="J67" s="300">
        <v>67</v>
      </c>
      <c r="K67" s="300">
        <v>66</v>
      </c>
      <c r="L67" s="300">
        <v>72</v>
      </c>
      <c r="M67" s="300">
        <v>43</v>
      </c>
      <c r="N67" s="300">
        <v>54</v>
      </c>
      <c r="O67" s="300">
        <v>53</v>
      </c>
      <c r="P67" s="301">
        <v>486</v>
      </c>
    </row>
    <row r="68" spans="1:16">
      <c r="A68" s="494"/>
      <c r="B68" s="497"/>
      <c r="C68" s="477" t="s">
        <v>370</v>
      </c>
      <c r="D68" s="291" t="s">
        <v>8</v>
      </c>
      <c r="E68" s="296">
        <v>19</v>
      </c>
      <c r="F68" s="296">
        <v>13</v>
      </c>
      <c r="G68" s="296">
        <v>2</v>
      </c>
      <c r="H68" s="296">
        <v>12</v>
      </c>
      <c r="I68" s="296">
        <v>35</v>
      </c>
      <c r="J68" s="296">
        <v>57</v>
      </c>
      <c r="K68" s="296">
        <v>56</v>
      </c>
      <c r="L68" s="296">
        <v>66</v>
      </c>
      <c r="M68" s="296">
        <v>27</v>
      </c>
      <c r="N68" s="296">
        <v>36</v>
      </c>
      <c r="O68" s="296">
        <v>39</v>
      </c>
      <c r="P68" s="297">
        <v>362</v>
      </c>
    </row>
    <row r="69" spans="1:16">
      <c r="A69" s="494"/>
      <c r="B69" s="497"/>
      <c r="C69" s="478"/>
      <c r="D69" s="274" t="s">
        <v>7</v>
      </c>
      <c r="E69" s="298">
        <v>11</v>
      </c>
      <c r="F69" s="298">
        <v>5</v>
      </c>
      <c r="G69" s="298">
        <v>4</v>
      </c>
      <c r="H69" s="298">
        <v>8</v>
      </c>
      <c r="I69" s="298">
        <v>22</v>
      </c>
      <c r="J69" s="298">
        <v>24</v>
      </c>
      <c r="K69" s="298">
        <v>10</v>
      </c>
      <c r="L69" s="298">
        <v>21</v>
      </c>
      <c r="M69" s="298">
        <v>20</v>
      </c>
      <c r="N69" s="298">
        <v>18</v>
      </c>
      <c r="O69" s="298">
        <v>14</v>
      </c>
      <c r="P69" s="299">
        <v>157</v>
      </c>
    </row>
    <row r="70" spans="1:16" ht="15.75" thickBot="1">
      <c r="A70" s="495"/>
      <c r="B70" s="498"/>
      <c r="C70" s="479"/>
      <c r="D70" s="292" t="s">
        <v>162</v>
      </c>
      <c r="E70" s="300">
        <v>30</v>
      </c>
      <c r="F70" s="300">
        <v>18</v>
      </c>
      <c r="G70" s="300">
        <v>6</v>
      </c>
      <c r="H70" s="300">
        <v>20</v>
      </c>
      <c r="I70" s="300">
        <v>57</v>
      </c>
      <c r="J70" s="300">
        <v>81</v>
      </c>
      <c r="K70" s="300">
        <v>66</v>
      </c>
      <c r="L70" s="300">
        <v>87</v>
      </c>
      <c r="M70" s="300">
        <v>47</v>
      </c>
      <c r="N70" s="300">
        <v>54</v>
      </c>
      <c r="O70" s="300">
        <v>53</v>
      </c>
      <c r="P70" s="301">
        <v>519</v>
      </c>
    </row>
    <row r="71" spans="1:16">
      <c r="A71" s="325" t="s">
        <v>552</v>
      </c>
    </row>
  </sheetData>
  <mergeCells count="71">
    <mergeCell ref="A65:A70"/>
    <mergeCell ref="B65:B70"/>
    <mergeCell ref="C65:C67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7:A49"/>
    <mergeCell ref="B47:B49"/>
    <mergeCell ref="C47:C49"/>
    <mergeCell ref="E47:P47"/>
    <mergeCell ref="A50:A52"/>
    <mergeCell ref="B50:B52"/>
    <mergeCell ref="C50:C52"/>
    <mergeCell ref="A41:A43"/>
    <mergeCell ref="B41:B43"/>
    <mergeCell ref="C41:C43"/>
    <mergeCell ref="A44:A46"/>
    <mergeCell ref="B44:B46"/>
    <mergeCell ref="C44:C46"/>
    <mergeCell ref="A35:A37"/>
    <mergeCell ref="B35:B37"/>
    <mergeCell ref="C35:C37"/>
    <mergeCell ref="A38:A40"/>
    <mergeCell ref="B38:B40"/>
    <mergeCell ref="C38:C40"/>
    <mergeCell ref="A29:A31"/>
    <mergeCell ref="B29:B31"/>
    <mergeCell ref="C29:C31"/>
    <mergeCell ref="A32:A34"/>
    <mergeCell ref="B32:B34"/>
    <mergeCell ref="C32:C34"/>
    <mergeCell ref="A23:A25"/>
    <mergeCell ref="B23:B25"/>
    <mergeCell ref="C23:C25"/>
    <mergeCell ref="A26:A28"/>
    <mergeCell ref="B26:B28"/>
    <mergeCell ref="C26:C28"/>
    <mergeCell ref="A17:A19"/>
    <mergeCell ref="B17:B19"/>
    <mergeCell ref="C17:C19"/>
    <mergeCell ref="A20:A22"/>
    <mergeCell ref="B20:B22"/>
    <mergeCell ref="C20:C22"/>
    <mergeCell ref="A11:A13"/>
    <mergeCell ref="B11:B13"/>
    <mergeCell ref="C11:C13"/>
    <mergeCell ref="A14:A16"/>
    <mergeCell ref="B14:B16"/>
    <mergeCell ref="C14:C16"/>
    <mergeCell ref="A5:A7"/>
    <mergeCell ref="B5:B7"/>
    <mergeCell ref="C5:C7"/>
    <mergeCell ref="A8:A10"/>
    <mergeCell ref="B8:B10"/>
    <mergeCell ref="C8:C10"/>
    <mergeCell ref="A1:P1"/>
    <mergeCell ref="A2:A3"/>
    <mergeCell ref="B2:B3"/>
    <mergeCell ref="C2:C3"/>
    <mergeCell ref="D2:D3"/>
    <mergeCell ref="E2:P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6">
    <pageSetUpPr fitToPage="1"/>
  </sheetPr>
  <dimension ref="A1:L38"/>
  <sheetViews>
    <sheetView workbookViewId="0">
      <selection activeCell="H45" sqref="H45"/>
    </sheetView>
  </sheetViews>
  <sheetFormatPr defaultRowHeight="13.5"/>
  <cols>
    <col min="1" max="1" width="8.5703125" style="57" customWidth="1"/>
    <col min="2" max="2" width="6.7109375" style="53" customWidth="1"/>
    <col min="3" max="3" width="13.85546875" style="53" customWidth="1"/>
    <col min="4" max="4" width="15.85546875" style="53" customWidth="1"/>
    <col min="5" max="5" width="9.42578125" style="53" customWidth="1"/>
    <col min="6" max="6" width="9.140625" style="53" customWidth="1"/>
    <col min="7" max="7" width="13.140625" style="53" customWidth="1"/>
    <col min="8" max="8" width="12.85546875" style="53" customWidth="1"/>
    <col min="9" max="9" width="13.42578125" style="53" customWidth="1"/>
    <col min="10" max="10" width="9.85546875" style="53" customWidth="1"/>
    <col min="11" max="11" width="9.5703125" style="53" customWidth="1"/>
    <col min="12" max="12" width="10.5703125" style="53" customWidth="1"/>
    <col min="13" max="256" width="9.140625" style="53"/>
    <col min="257" max="257" width="8.5703125" style="53" customWidth="1"/>
    <col min="258" max="258" width="6.7109375" style="53" customWidth="1"/>
    <col min="259" max="259" width="13.85546875" style="53" customWidth="1"/>
    <col min="260" max="260" width="15.85546875" style="53" customWidth="1"/>
    <col min="261" max="261" width="9.42578125" style="53" customWidth="1"/>
    <col min="262" max="262" width="9.140625" style="53" customWidth="1"/>
    <col min="263" max="263" width="13.140625" style="53" customWidth="1"/>
    <col min="264" max="264" width="12.85546875" style="53" customWidth="1"/>
    <col min="265" max="265" width="13.42578125" style="53" customWidth="1"/>
    <col min="266" max="266" width="9.85546875" style="53" customWidth="1"/>
    <col min="267" max="267" width="9.5703125" style="53" customWidth="1"/>
    <col min="268" max="268" width="13.5703125" style="53" customWidth="1"/>
    <col min="269" max="512" width="9.140625" style="53"/>
    <col min="513" max="513" width="8.5703125" style="53" customWidth="1"/>
    <col min="514" max="514" width="6.7109375" style="53" customWidth="1"/>
    <col min="515" max="515" width="13.85546875" style="53" customWidth="1"/>
    <col min="516" max="516" width="15.85546875" style="53" customWidth="1"/>
    <col min="517" max="517" width="9.42578125" style="53" customWidth="1"/>
    <col min="518" max="518" width="9.140625" style="53" customWidth="1"/>
    <col min="519" max="519" width="13.140625" style="53" customWidth="1"/>
    <col min="520" max="520" width="12.85546875" style="53" customWidth="1"/>
    <col min="521" max="521" width="13.42578125" style="53" customWidth="1"/>
    <col min="522" max="522" width="9.85546875" style="53" customWidth="1"/>
    <col min="523" max="523" width="9.5703125" style="53" customWidth="1"/>
    <col min="524" max="524" width="13.5703125" style="53" customWidth="1"/>
    <col min="525" max="768" width="9.140625" style="53"/>
    <col min="769" max="769" width="8.5703125" style="53" customWidth="1"/>
    <col min="770" max="770" width="6.7109375" style="53" customWidth="1"/>
    <col min="771" max="771" width="13.85546875" style="53" customWidth="1"/>
    <col min="772" max="772" width="15.85546875" style="53" customWidth="1"/>
    <col min="773" max="773" width="9.42578125" style="53" customWidth="1"/>
    <col min="774" max="774" width="9.140625" style="53" customWidth="1"/>
    <col min="775" max="775" width="13.140625" style="53" customWidth="1"/>
    <col min="776" max="776" width="12.85546875" style="53" customWidth="1"/>
    <col min="777" max="777" width="13.42578125" style="53" customWidth="1"/>
    <col min="778" max="778" width="9.85546875" style="53" customWidth="1"/>
    <col min="779" max="779" width="9.5703125" style="53" customWidth="1"/>
    <col min="780" max="780" width="13.5703125" style="53" customWidth="1"/>
    <col min="781" max="1024" width="9.140625" style="53"/>
    <col min="1025" max="1025" width="8.5703125" style="53" customWidth="1"/>
    <col min="1026" max="1026" width="6.7109375" style="53" customWidth="1"/>
    <col min="1027" max="1027" width="13.85546875" style="53" customWidth="1"/>
    <col min="1028" max="1028" width="15.85546875" style="53" customWidth="1"/>
    <col min="1029" max="1029" width="9.42578125" style="53" customWidth="1"/>
    <col min="1030" max="1030" width="9.140625" style="53" customWidth="1"/>
    <col min="1031" max="1031" width="13.140625" style="53" customWidth="1"/>
    <col min="1032" max="1032" width="12.85546875" style="53" customWidth="1"/>
    <col min="1033" max="1033" width="13.42578125" style="53" customWidth="1"/>
    <col min="1034" max="1034" width="9.85546875" style="53" customWidth="1"/>
    <col min="1035" max="1035" width="9.5703125" style="53" customWidth="1"/>
    <col min="1036" max="1036" width="13.5703125" style="53" customWidth="1"/>
    <col min="1037" max="1280" width="9.140625" style="53"/>
    <col min="1281" max="1281" width="8.5703125" style="53" customWidth="1"/>
    <col min="1282" max="1282" width="6.7109375" style="53" customWidth="1"/>
    <col min="1283" max="1283" width="13.85546875" style="53" customWidth="1"/>
    <col min="1284" max="1284" width="15.85546875" style="53" customWidth="1"/>
    <col min="1285" max="1285" width="9.42578125" style="53" customWidth="1"/>
    <col min="1286" max="1286" width="9.140625" style="53" customWidth="1"/>
    <col min="1287" max="1287" width="13.140625" style="53" customWidth="1"/>
    <col min="1288" max="1288" width="12.85546875" style="53" customWidth="1"/>
    <col min="1289" max="1289" width="13.42578125" style="53" customWidth="1"/>
    <col min="1290" max="1290" width="9.85546875" style="53" customWidth="1"/>
    <col min="1291" max="1291" width="9.5703125" style="53" customWidth="1"/>
    <col min="1292" max="1292" width="13.5703125" style="53" customWidth="1"/>
    <col min="1293" max="1536" width="9.140625" style="53"/>
    <col min="1537" max="1537" width="8.5703125" style="53" customWidth="1"/>
    <col min="1538" max="1538" width="6.7109375" style="53" customWidth="1"/>
    <col min="1539" max="1539" width="13.85546875" style="53" customWidth="1"/>
    <col min="1540" max="1540" width="15.85546875" style="53" customWidth="1"/>
    <col min="1541" max="1541" width="9.42578125" style="53" customWidth="1"/>
    <col min="1542" max="1542" width="9.140625" style="53" customWidth="1"/>
    <col min="1543" max="1543" width="13.140625" style="53" customWidth="1"/>
    <col min="1544" max="1544" width="12.85546875" style="53" customWidth="1"/>
    <col min="1545" max="1545" width="13.42578125" style="53" customWidth="1"/>
    <col min="1546" max="1546" width="9.85546875" style="53" customWidth="1"/>
    <col min="1547" max="1547" width="9.5703125" style="53" customWidth="1"/>
    <col min="1548" max="1548" width="13.5703125" style="53" customWidth="1"/>
    <col min="1549" max="1792" width="9.140625" style="53"/>
    <col min="1793" max="1793" width="8.5703125" style="53" customWidth="1"/>
    <col min="1794" max="1794" width="6.7109375" style="53" customWidth="1"/>
    <col min="1795" max="1795" width="13.85546875" style="53" customWidth="1"/>
    <col min="1796" max="1796" width="15.85546875" style="53" customWidth="1"/>
    <col min="1797" max="1797" width="9.42578125" style="53" customWidth="1"/>
    <col min="1798" max="1798" width="9.140625" style="53" customWidth="1"/>
    <col min="1799" max="1799" width="13.140625" style="53" customWidth="1"/>
    <col min="1800" max="1800" width="12.85546875" style="53" customWidth="1"/>
    <col min="1801" max="1801" width="13.42578125" style="53" customWidth="1"/>
    <col min="1802" max="1802" width="9.85546875" style="53" customWidth="1"/>
    <col min="1803" max="1803" width="9.5703125" style="53" customWidth="1"/>
    <col min="1804" max="1804" width="13.5703125" style="53" customWidth="1"/>
    <col min="1805" max="2048" width="9.140625" style="53"/>
    <col min="2049" max="2049" width="8.5703125" style="53" customWidth="1"/>
    <col min="2050" max="2050" width="6.7109375" style="53" customWidth="1"/>
    <col min="2051" max="2051" width="13.85546875" style="53" customWidth="1"/>
    <col min="2052" max="2052" width="15.85546875" style="53" customWidth="1"/>
    <col min="2053" max="2053" width="9.42578125" style="53" customWidth="1"/>
    <col min="2054" max="2054" width="9.140625" style="53" customWidth="1"/>
    <col min="2055" max="2055" width="13.140625" style="53" customWidth="1"/>
    <col min="2056" max="2056" width="12.85546875" style="53" customWidth="1"/>
    <col min="2057" max="2057" width="13.42578125" style="53" customWidth="1"/>
    <col min="2058" max="2058" width="9.85546875" style="53" customWidth="1"/>
    <col min="2059" max="2059" width="9.5703125" style="53" customWidth="1"/>
    <col min="2060" max="2060" width="13.5703125" style="53" customWidth="1"/>
    <col min="2061" max="2304" width="9.140625" style="53"/>
    <col min="2305" max="2305" width="8.5703125" style="53" customWidth="1"/>
    <col min="2306" max="2306" width="6.7109375" style="53" customWidth="1"/>
    <col min="2307" max="2307" width="13.85546875" style="53" customWidth="1"/>
    <col min="2308" max="2308" width="15.85546875" style="53" customWidth="1"/>
    <col min="2309" max="2309" width="9.42578125" style="53" customWidth="1"/>
    <col min="2310" max="2310" width="9.140625" style="53" customWidth="1"/>
    <col min="2311" max="2311" width="13.140625" style="53" customWidth="1"/>
    <col min="2312" max="2312" width="12.85546875" style="53" customWidth="1"/>
    <col min="2313" max="2313" width="13.42578125" style="53" customWidth="1"/>
    <col min="2314" max="2314" width="9.85546875" style="53" customWidth="1"/>
    <col min="2315" max="2315" width="9.5703125" style="53" customWidth="1"/>
    <col min="2316" max="2316" width="13.5703125" style="53" customWidth="1"/>
    <col min="2317" max="2560" width="9.140625" style="53"/>
    <col min="2561" max="2561" width="8.5703125" style="53" customWidth="1"/>
    <col min="2562" max="2562" width="6.7109375" style="53" customWidth="1"/>
    <col min="2563" max="2563" width="13.85546875" style="53" customWidth="1"/>
    <col min="2564" max="2564" width="15.85546875" style="53" customWidth="1"/>
    <col min="2565" max="2565" width="9.42578125" style="53" customWidth="1"/>
    <col min="2566" max="2566" width="9.140625" style="53" customWidth="1"/>
    <col min="2567" max="2567" width="13.140625" style="53" customWidth="1"/>
    <col min="2568" max="2568" width="12.85546875" style="53" customWidth="1"/>
    <col min="2569" max="2569" width="13.42578125" style="53" customWidth="1"/>
    <col min="2570" max="2570" width="9.85546875" style="53" customWidth="1"/>
    <col min="2571" max="2571" width="9.5703125" style="53" customWidth="1"/>
    <col min="2572" max="2572" width="13.5703125" style="53" customWidth="1"/>
    <col min="2573" max="2816" width="9.140625" style="53"/>
    <col min="2817" max="2817" width="8.5703125" style="53" customWidth="1"/>
    <col min="2818" max="2818" width="6.7109375" style="53" customWidth="1"/>
    <col min="2819" max="2819" width="13.85546875" style="53" customWidth="1"/>
    <col min="2820" max="2820" width="15.85546875" style="53" customWidth="1"/>
    <col min="2821" max="2821" width="9.42578125" style="53" customWidth="1"/>
    <col min="2822" max="2822" width="9.140625" style="53" customWidth="1"/>
    <col min="2823" max="2823" width="13.140625" style="53" customWidth="1"/>
    <col min="2824" max="2824" width="12.85546875" style="53" customWidth="1"/>
    <col min="2825" max="2825" width="13.42578125" style="53" customWidth="1"/>
    <col min="2826" max="2826" width="9.85546875" style="53" customWidth="1"/>
    <col min="2827" max="2827" width="9.5703125" style="53" customWidth="1"/>
    <col min="2828" max="2828" width="13.5703125" style="53" customWidth="1"/>
    <col min="2829" max="3072" width="9.140625" style="53"/>
    <col min="3073" max="3073" width="8.5703125" style="53" customWidth="1"/>
    <col min="3074" max="3074" width="6.7109375" style="53" customWidth="1"/>
    <col min="3075" max="3075" width="13.85546875" style="53" customWidth="1"/>
    <col min="3076" max="3076" width="15.85546875" style="53" customWidth="1"/>
    <col min="3077" max="3077" width="9.42578125" style="53" customWidth="1"/>
    <col min="3078" max="3078" width="9.140625" style="53" customWidth="1"/>
    <col min="3079" max="3079" width="13.140625" style="53" customWidth="1"/>
    <col min="3080" max="3080" width="12.85546875" style="53" customWidth="1"/>
    <col min="3081" max="3081" width="13.42578125" style="53" customWidth="1"/>
    <col min="3082" max="3082" width="9.85546875" style="53" customWidth="1"/>
    <col min="3083" max="3083" width="9.5703125" style="53" customWidth="1"/>
    <col min="3084" max="3084" width="13.5703125" style="53" customWidth="1"/>
    <col min="3085" max="3328" width="9.140625" style="53"/>
    <col min="3329" max="3329" width="8.5703125" style="53" customWidth="1"/>
    <col min="3330" max="3330" width="6.7109375" style="53" customWidth="1"/>
    <col min="3331" max="3331" width="13.85546875" style="53" customWidth="1"/>
    <col min="3332" max="3332" width="15.85546875" style="53" customWidth="1"/>
    <col min="3333" max="3333" width="9.42578125" style="53" customWidth="1"/>
    <col min="3334" max="3334" width="9.140625" style="53" customWidth="1"/>
    <col min="3335" max="3335" width="13.140625" style="53" customWidth="1"/>
    <col min="3336" max="3336" width="12.85546875" style="53" customWidth="1"/>
    <col min="3337" max="3337" width="13.42578125" style="53" customWidth="1"/>
    <col min="3338" max="3338" width="9.85546875" style="53" customWidth="1"/>
    <col min="3339" max="3339" width="9.5703125" style="53" customWidth="1"/>
    <col min="3340" max="3340" width="13.5703125" style="53" customWidth="1"/>
    <col min="3341" max="3584" width="9.140625" style="53"/>
    <col min="3585" max="3585" width="8.5703125" style="53" customWidth="1"/>
    <col min="3586" max="3586" width="6.7109375" style="53" customWidth="1"/>
    <col min="3587" max="3587" width="13.85546875" style="53" customWidth="1"/>
    <col min="3588" max="3588" width="15.85546875" style="53" customWidth="1"/>
    <col min="3589" max="3589" width="9.42578125" style="53" customWidth="1"/>
    <col min="3590" max="3590" width="9.140625" style="53" customWidth="1"/>
    <col min="3591" max="3591" width="13.140625" style="53" customWidth="1"/>
    <col min="3592" max="3592" width="12.85546875" style="53" customWidth="1"/>
    <col min="3593" max="3593" width="13.42578125" style="53" customWidth="1"/>
    <col min="3594" max="3594" width="9.85546875" style="53" customWidth="1"/>
    <col min="3595" max="3595" width="9.5703125" style="53" customWidth="1"/>
    <col min="3596" max="3596" width="13.5703125" style="53" customWidth="1"/>
    <col min="3597" max="3840" width="9.140625" style="53"/>
    <col min="3841" max="3841" width="8.5703125" style="53" customWidth="1"/>
    <col min="3842" max="3842" width="6.7109375" style="53" customWidth="1"/>
    <col min="3843" max="3843" width="13.85546875" style="53" customWidth="1"/>
    <col min="3844" max="3844" width="15.85546875" style="53" customWidth="1"/>
    <col min="3845" max="3845" width="9.42578125" style="53" customWidth="1"/>
    <col min="3846" max="3846" width="9.140625" style="53" customWidth="1"/>
    <col min="3847" max="3847" width="13.140625" style="53" customWidth="1"/>
    <col min="3848" max="3848" width="12.85546875" style="53" customWidth="1"/>
    <col min="3849" max="3849" width="13.42578125" style="53" customWidth="1"/>
    <col min="3850" max="3850" width="9.85546875" style="53" customWidth="1"/>
    <col min="3851" max="3851" width="9.5703125" style="53" customWidth="1"/>
    <col min="3852" max="3852" width="13.5703125" style="53" customWidth="1"/>
    <col min="3853" max="4096" width="9.140625" style="53"/>
    <col min="4097" max="4097" width="8.5703125" style="53" customWidth="1"/>
    <col min="4098" max="4098" width="6.7109375" style="53" customWidth="1"/>
    <col min="4099" max="4099" width="13.85546875" style="53" customWidth="1"/>
    <col min="4100" max="4100" width="15.85546875" style="53" customWidth="1"/>
    <col min="4101" max="4101" width="9.42578125" style="53" customWidth="1"/>
    <col min="4102" max="4102" width="9.140625" style="53" customWidth="1"/>
    <col min="4103" max="4103" width="13.140625" style="53" customWidth="1"/>
    <col min="4104" max="4104" width="12.85546875" style="53" customWidth="1"/>
    <col min="4105" max="4105" width="13.42578125" style="53" customWidth="1"/>
    <col min="4106" max="4106" width="9.85546875" style="53" customWidth="1"/>
    <col min="4107" max="4107" width="9.5703125" style="53" customWidth="1"/>
    <col min="4108" max="4108" width="13.5703125" style="53" customWidth="1"/>
    <col min="4109" max="4352" width="9.140625" style="53"/>
    <col min="4353" max="4353" width="8.5703125" style="53" customWidth="1"/>
    <col min="4354" max="4354" width="6.7109375" style="53" customWidth="1"/>
    <col min="4355" max="4355" width="13.85546875" style="53" customWidth="1"/>
    <col min="4356" max="4356" width="15.85546875" style="53" customWidth="1"/>
    <col min="4357" max="4357" width="9.42578125" style="53" customWidth="1"/>
    <col min="4358" max="4358" width="9.140625" style="53" customWidth="1"/>
    <col min="4359" max="4359" width="13.140625" style="53" customWidth="1"/>
    <col min="4360" max="4360" width="12.85546875" style="53" customWidth="1"/>
    <col min="4361" max="4361" width="13.42578125" style="53" customWidth="1"/>
    <col min="4362" max="4362" width="9.85546875" style="53" customWidth="1"/>
    <col min="4363" max="4363" width="9.5703125" style="53" customWidth="1"/>
    <col min="4364" max="4364" width="13.5703125" style="53" customWidth="1"/>
    <col min="4365" max="4608" width="9.140625" style="53"/>
    <col min="4609" max="4609" width="8.5703125" style="53" customWidth="1"/>
    <col min="4610" max="4610" width="6.7109375" style="53" customWidth="1"/>
    <col min="4611" max="4611" width="13.85546875" style="53" customWidth="1"/>
    <col min="4612" max="4612" width="15.85546875" style="53" customWidth="1"/>
    <col min="4613" max="4613" width="9.42578125" style="53" customWidth="1"/>
    <col min="4614" max="4614" width="9.140625" style="53" customWidth="1"/>
    <col min="4615" max="4615" width="13.140625" style="53" customWidth="1"/>
    <col min="4616" max="4616" width="12.85546875" style="53" customWidth="1"/>
    <col min="4617" max="4617" width="13.42578125" style="53" customWidth="1"/>
    <col min="4618" max="4618" width="9.85546875" style="53" customWidth="1"/>
    <col min="4619" max="4619" width="9.5703125" style="53" customWidth="1"/>
    <col min="4620" max="4620" width="13.5703125" style="53" customWidth="1"/>
    <col min="4621" max="4864" width="9.140625" style="53"/>
    <col min="4865" max="4865" width="8.5703125" style="53" customWidth="1"/>
    <col min="4866" max="4866" width="6.7109375" style="53" customWidth="1"/>
    <col min="4867" max="4867" width="13.85546875" style="53" customWidth="1"/>
    <col min="4868" max="4868" width="15.85546875" style="53" customWidth="1"/>
    <col min="4869" max="4869" width="9.42578125" style="53" customWidth="1"/>
    <col min="4870" max="4870" width="9.140625" style="53" customWidth="1"/>
    <col min="4871" max="4871" width="13.140625" style="53" customWidth="1"/>
    <col min="4872" max="4872" width="12.85546875" style="53" customWidth="1"/>
    <col min="4873" max="4873" width="13.42578125" style="53" customWidth="1"/>
    <col min="4874" max="4874" width="9.85546875" style="53" customWidth="1"/>
    <col min="4875" max="4875" width="9.5703125" style="53" customWidth="1"/>
    <col min="4876" max="4876" width="13.5703125" style="53" customWidth="1"/>
    <col min="4877" max="5120" width="9.140625" style="53"/>
    <col min="5121" max="5121" width="8.5703125" style="53" customWidth="1"/>
    <col min="5122" max="5122" width="6.7109375" style="53" customWidth="1"/>
    <col min="5123" max="5123" width="13.85546875" style="53" customWidth="1"/>
    <col min="5124" max="5124" width="15.85546875" style="53" customWidth="1"/>
    <col min="5125" max="5125" width="9.42578125" style="53" customWidth="1"/>
    <col min="5126" max="5126" width="9.140625" style="53" customWidth="1"/>
    <col min="5127" max="5127" width="13.140625" style="53" customWidth="1"/>
    <col min="5128" max="5128" width="12.85546875" style="53" customWidth="1"/>
    <col min="5129" max="5129" width="13.42578125" style="53" customWidth="1"/>
    <col min="5130" max="5130" width="9.85546875" style="53" customWidth="1"/>
    <col min="5131" max="5131" width="9.5703125" style="53" customWidth="1"/>
    <col min="5132" max="5132" width="13.5703125" style="53" customWidth="1"/>
    <col min="5133" max="5376" width="9.140625" style="53"/>
    <col min="5377" max="5377" width="8.5703125" style="53" customWidth="1"/>
    <col min="5378" max="5378" width="6.7109375" style="53" customWidth="1"/>
    <col min="5379" max="5379" width="13.85546875" style="53" customWidth="1"/>
    <col min="5380" max="5380" width="15.85546875" style="53" customWidth="1"/>
    <col min="5381" max="5381" width="9.42578125" style="53" customWidth="1"/>
    <col min="5382" max="5382" width="9.140625" style="53" customWidth="1"/>
    <col min="5383" max="5383" width="13.140625" style="53" customWidth="1"/>
    <col min="5384" max="5384" width="12.85546875" style="53" customWidth="1"/>
    <col min="5385" max="5385" width="13.42578125" style="53" customWidth="1"/>
    <col min="5386" max="5386" width="9.85546875" style="53" customWidth="1"/>
    <col min="5387" max="5387" width="9.5703125" style="53" customWidth="1"/>
    <col min="5388" max="5388" width="13.5703125" style="53" customWidth="1"/>
    <col min="5389" max="5632" width="9.140625" style="53"/>
    <col min="5633" max="5633" width="8.5703125" style="53" customWidth="1"/>
    <col min="5634" max="5634" width="6.7109375" style="53" customWidth="1"/>
    <col min="5635" max="5635" width="13.85546875" style="53" customWidth="1"/>
    <col min="5636" max="5636" width="15.85546875" style="53" customWidth="1"/>
    <col min="5637" max="5637" width="9.42578125" style="53" customWidth="1"/>
    <col min="5638" max="5638" width="9.140625" style="53" customWidth="1"/>
    <col min="5639" max="5639" width="13.140625" style="53" customWidth="1"/>
    <col min="5640" max="5640" width="12.85546875" style="53" customWidth="1"/>
    <col min="5641" max="5641" width="13.42578125" style="53" customWidth="1"/>
    <col min="5642" max="5642" width="9.85546875" style="53" customWidth="1"/>
    <col min="5643" max="5643" width="9.5703125" style="53" customWidth="1"/>
    <col min="5644" max="5644" width="13.5703125" style="53" customWidth="1"/>
    <col min="5645" max="5888" width="9.140625" style="53"/>
    <col min="5889" max="5889" width="8.5703125" style="53" customWidth="1"/>
    <col min="5890" max="5890" width="6.7109375" style="53" customWidth="1"/>
    <col min="5891" max="5891" width="13.85546875" style="53" customWidth="1"/>
    <col min="5892" max="5892" width="15.85546875" style="53" customWidth="1"/>
    <col min="5893" max="5893" width="9.42578125" style="53" customWidth="1"/>
    <col min="5894" max="5894" width="9.140625" style="53" customWidth="1"/>
    <col min="5895" max="5895" width="13.140625" style="53" customWidth="1"/>
    <col min="5896" max="5896" width="12.85546875" style="53" customWidth="1"/>
    <col min="5897" max="5897" width="13.42578125" style="53" customWidth="1"/>
    <col min="5898" max="5898" width="9.85546875" style="53" customWidth="1"/>
    <col min="5899" max="5899" width="9.5703125" style="53" customWidth="1"/>
    <col min="5900" max="5900" width="13.5703125" style="53" customWidth="1"/>
    <col min="5901" max="6144" width="9.140625" style="53"/>
    <col min="6145" max="6145" width="8.5703125" style="53" customWidth="1"/>
    <col min="6146" max="6146" width="6.7109375" style="53" customWidth="1"/>
    <col min="6147" max="6147" width="13.85546875" style="53" customWidth="1"/>
    <col min="6148" max="6148" width="15.85546875" style="53" customWidth="1"/>
    <col min="6149" max="6149" width="9.42578125" style="53" customWidth="1"/>
    <col min="6150" max="6150" width="9.140625" style="53" customWidth="1"/>
    <col min="6151" max="6151" width="13.140625" style="53" customWidth="1"/>
    <col min="6152" max="6152" width="12.85546875" style="53" customWidth="1"/>
    <col min="6153" max="6153" width="13.42578125" style="53" customWidth="1"/>
    <col min="6154" max="6154" width="9.85546875" style="53" customWidth="1"/>
    <col min="6155" max="6155" width="9.5703125" style="53" customWidth="1"/>
    <col min="6156" max="6156" width="13.5703125" style="53" customWidth="1"/>
    <col min="6157" max="6400" width="9.140625" style="53"/>
    <col min="6401" max="6401" width="8.5703125" style="53" customWidth="1"/>
    <col min="6402" max="6402" width="6.7109375" style="53" customWidth="1"/>
    <col min="6403" max="6403" width="13.85546875" style="53" customWidth="1"/>
    <col min="6404" max="6404" width="15.85546875" style="53" customWidth="1"/>
    <col min="6405" max="6405" width="9.42578125" style="53" customWidth="1"/>
    <col min="6406" max="6406" width="9.140625" style="53" customWidth="1"/>
    <col min="6407" max="6407" width="13.140625" style="53" customWidth="1"/>
    <col min="6408" max="6408" width="12.85546875" style="53" customWidth="1"/>
    <col min="6409" max="6409" width="13.42578125" style="53" customWidth="1"/>
    <col min="6410" max="6410" width="9.85546875" style="53" customWidth="1"/>
    <col min="6411" max="6411" width="9.5703125" style="53" customWidth="1"/>
    <col min="6412" max="6412" width="13.5703125" style="53" customWidth="1"/>
    <col min="6413" max="6656" width="9.140625" style="53"/>
    <col min="6657" max="6657" width="8.5703125" style="53" customWidth="1"/>
    <col min="6658" max="6658" width="6.7109375" style="53" customWidth="1"/>
    <col min="6659" max="6659" width="13.85546875" style="53" customWidth="1"/>
    <col min="6660" max="6660" width="15.85546875" style="53" customWidth="1"/>
    <col min="6661" max="6661" width="9.42578125" style="53" customWidth="1"/>
    <col min="6662" max="6662" width="9.140625" style="53" customWidth="1"/>
    <col min="6663" max="6663" width="13.140625" style="53" customWidth="1"/>
    <col min="6664" max="6664" width="12.85546875" style="53" customWidth="1"/>
    <col min="6665" max="6665" width="13.42578125" style="53" customWidth="1"/>
    <col min="6666" max="6666" width="9.85546875" style="53" customWidth="1"/>
    <col min="6667" max="6667" width="9.5703125" style="53" customWidth="1"/>
    <col min="6668" max="6668" width="13.5703125" style="53" customWidth="1"/>
    <col min="6669" max="6912" width="9.140625" style="53"/>
    <col min="6913" max="6913" width="8.5703125" style="53" customWidth="1"/>
    <col min="6914" max="6914" width="6.7109375" style="53" customWidth="1"/>
    <col min="6915" max="6915" width="13.85546875" style="53" customWidth="1"/>
    <col min="6916" max="6916" width="15.85546875" style="53" customWidth="1"/>
    <col min="6917" max="6917" width="9.42578125" style="53" customWidth="1"/>
    <col min="6918" max="6918" width="9.140625" style="53" customWidth="1"/>
    <col min="6919" max="6919" width="13.140625" style="53" customWidth="1"/>
    <col min="6920" max="6920" width="12.85546875" style="53" customWidth="1"/>
    <col min="6921" max="6921" width="13.42578125" style="53" customWidth="1"/>
    <col min="6922" max="6922" width="9.85546875" style="53" customWidth="1"/>
    <col min="6923" max="6923" width="9.5703125" style="53" customWidth="1"/>
    <col min="6924" max="6924" width="13.5703125" style="53" customWidth="1"/>
    <col min="6925" max="7168" width="9.140625" style="53"/>
    <col min="7169" max="7169" width="8.5703125" style="53" customWidth="1"/>
    <col min="7170" max="7170" width="6.7109375" style="53" customWidth="1"/>
    <col min="7171" max="7171" width="13.85546875" style="53" customWidth="1"/>
    <col min="7172" max="7172" width="15.85546875" style="53" customWidth="1"/>
    <col min="7173" max="7173" width="9.42578125" style="53" customWidth="1"/>
    <col min="7174" max="7174" width="9.140625" style="53" customWidth="1"/>
    <col min="7175" max="7175" width="13.140625" style="53" customWidth="1"/>
    <col min="7176" max="7176" width="12.85546875" style="53" customWidth="1"/>
    <col min="7177" max="7177" width="13.42578125" style="53" customWidth="1"/>
    <col min="7178" max="7178" width="9.85546875" style="53" customWidth="1"/>
    <col min="7179" max="7179" width="9.5703125" style="53" customWidth="1"/>
    <col min="7180" max="7180" width="13.5703125" style="53" customWidth="1"/>
    <col min="7181" max="7424" width="9.140625" style="53"/>
    <col min="7425" max="7425" width="8.5703125" style="53" customWidth="1"/>
    <col min="7426" max="7426" width="6.7109375" style="53" customWidth="1"/>
    <col min="7427" max="7427" width="13.85546875" style="53" customWidth="1"/>
    <col min="7428" max="7428" width="15.85546875" style="53" customWidth="1"/>
    <col min="7429" max="7429" width="9.42578125" style="53" customWidth="1"/>
    <col min="7430" max="7430" width="9.140625" style="53" customWidth="1"/>
    <col min="7431" max="7431" width="13.140625" style="53" customWidth="1"/>
    <col min="7432" max="7432" width="12.85546875" style="53" customWidth="1"/>
    <col min="7433" max="7433" width="13.42578125" style="53" customWidth="1"/>
    <col min="7434" max="7434" width="9.85546875" style="53" customWidth="1"/>
    <col min="7435" max="7435" width="9.5703125" style="53" customWidth="1"/>
    <col min="7436" max="7436" width="13.5703125" style="53" customWidth="1"/>
    <col min="7437" max="7680" width="9.140625" style="53"/>
    <col min="7681" max="7681" width="8.5703125" style="53" customWidth="1"/>
    <col min="7682" max="7682" width="6.7109375" style="53" customWidth="1"/>
    <col min="7683" max="7683" width="13.85546875" style="53" customWidth="1"/>
    <col min="7684" max="7684" width="15.85546875" style="53" customWidth="1"/>
    <col min="7685" max="7685" width="9.42578125" style="53" customWidth="1"/>
    <col min="7686" max="7686" width="9.140625" style="53" customWidth="1"/>
    <col min="7687" max="7687" width="13.140625" style="53" customWidth="1"/>
    <col min="7688" max="7688" width="12.85546875" style="53" customWidth="1"/>
    <col min="7689" max="7689" width="13.42578125" style="53" customWidth="1"/>
    <col min="7690" max="7690" width="9.85546875" style="53" customWidth="1"/>
    <col min="7691" max="7691" width="9.5703125" style="53" customWidth="1"/>
    <col min="7692" max="7692" width="13.5703125" style="53" customWidth="1"/>
    <col min="7693" max="7936" width="9.140625" style="53"/>
    <col min="7937" max="7937" width="8.5703125" style="53" customWidth="1"/>
    <col min="7938" max="7938" width="6.7109375" style="53" customWidth="1"/>
    <col min="7939" max="7939" width="13.85546875" style="53" customWidth="1"/>
    <col min="7940" max="7940" width="15.85546875" style="53" customWidth="1"/>
    <col min="7941" max="7941" width="9.42578125" style="53" customWidth="1"/>
    <col min="7942" max="7942" width="9.140625" style="53" customWidth="1"/>
    <col min="7943" max="7943" width="13.140625" style="53" customWidth="1"/>
    <col min="7944" max="7944" width="12.85546875" style="53" customWidth="1"/>
    <col min="7945" max="7945" width="13.42578125" style="53" customWidth="1"/>
    <col min="7946" max="7946" width="9.85546875" style="53" customWidth="1"/>
    <col min="7947" max="7947" width="9.5703125" style="53" customWidth="1"/>
    <col min="7948" max="7948" width="13.5703125" style="53" customWidth="1"/>
    <col min="7949" max="8192" width="9.140625" style="53"/>
    <col min="8193" max="8193" width="8.5703125" style="53" customWidth="1"/>
    <col min="8194" max="8194" width="6.7109375" style="53" customWidth="1"/>
    <col min="8195" max="8195" width="13.85546875" style="53" customWidth="1"/>
    <col min="8196" max="8196" width="15.85546875" style="53" customWidth="1"/>
    <col min="8197" max="8197" width="9.42578125" style="53" customWidth="1"/>
    <col min="8198" max="8198" width="9.140625" style="53" customWidth="1"/>
    <col min="8199" max="8199" width="13.140625" style="53" customWidth="1"/>
    <col min="8200" max="8200" width="12.85546875" style="53" customWidth="1"/>
    <col min="8201" max="8201" width="13.42578125" style="53" customWidth="1"/>
    <col min="8202" max="8202" width="9.85546875" style="53" customWidth="1"/>
    <col min="8203" max="8203" width="9.5703125" style="53" customWidth="1"/>
    <col min="8204" max="8204" width="13.5703125" style="53" customWidth="1"/>
    <col min="8205" max="8448" width="9.140625" style="53"/>
    <col min="8449" max="8449" width="8.5703125" style="53" customWidth="1"/>
    <col min="8450" max="8450" width="6.7109375" style="53" customWidth="1"/>
    <col min="8451" max="8451" width="13.85546875" style="53" customWidth="1"/>
    <col min="8452" max="8452" width="15.85546875" style="53" customWidth="1"/>
    <col min="8453" max="8453" width="9.42578125" style="53" customWidth="1"/>
    <col min="8454" max="8454" width="9.140625" style="53" customWidth="1"/>
    <col min="8455" max="8455" width="13.140625" style="53" customWidth="1"/>
    <col min="8456" max="8456" width="12.85546875" style="53" customWidth="1"/>
    <col min="8457" max="8457" width="13.42578125" style="53" customWidth="1"/>
    <col min="8458" max="8458" width="9.85546875" style="53" customWidth="1"/>
    <col min="8459" max="8459" width="9.5703125" style="53" customWidth="1"/>
    <col min="8460" max="8460" width="13.5703125" style="53" customWidth="1"/>
    <col min="8461" max="8704" width="9.140625" style="53"/>
    <col min="8705" max="8705" width="8.5703125" style="53" customWidth="1"/>
    <col min="8706" max="8706" width="6.7109375" style="53" customWidth="1"/>
    <col min="8707" max="8707" width="13.85546875" style="53" customWidth="1"/>
    <col min="8708" max="8708" width="15.85546875" style="53" customWidth="1"/>
    <col min="8709" max="8709" width="9.42578125" style="53" customWidth="1"/>
    <col min="8710" max="8710" width="9.140625" style="53" customWidth="1"/>
    <col min="8711" max="8711" width="13.140625" style="53" customWidth="1"/>
    <col min="8712" max="8712" width="12.85546875" style="53" customWidth="1"/>
    <col min="8713" max="8713" width="13.42578125" style="53" customWidth="1"/>
    <col min="8714" max="8714" width="9.85546875" style="53" customWidth="1"/>
    <col min="8715" max="8715" width="9.5703125" style="53" customWidth="1"/>
    <col min="8716" max="8716" width="13.5703125" style="53" customWidth="1"/>
    <col min="8717" max="8960" width="9.140625" style="53"/>
    <col min="8961" max="8961" width="8.5703125" style="53" customWidth="1"/>
    <col min="8962" max="8962" width="6.7109375" style="53" customWidth="1"/>
    <col min="8963" max="8963" width="13.85546875" style="53" customWidth="1"/>
    <col min="8964" max="8964" width="15.85546875" style="53" customWidth="1"/>
    <col min="8965" max="8965" width="9.42578125" style="53" customWidth="1"/>
    <col min="8966" max="8966" width="9.140625" style="53" customWidth="1"/>
    <col min="8967" max="8967" width="13.140625" style="53" customWidth="1"/>
    <col min="8968" max="8968" width="12.85546875" style="53" customWidth="1"/>
    <col min="8969" max="8969" width="13.42578125" style="53" customWidth="1"/>
    <col min="8970" max="8970" width="9.85546875" style="53" customWidth="1"/>
    <col min="8971" max="8971" width="9.5703125" style="53" customWidth="1"/>
    <col min="8972" max="8972" width="13.5703125" style="53" customWidth="1"/>
    <col min="8973" max="9216" width="9.140625" style="53"/>
    <col min="9217" max="9217" width="8.5703125" style="53" customWidth="1"/>
    <col min="9218" max="9218" width="6.7109375" style="53" customWidth="1"/>
    <col min="9219" max="9219" width="13.85546875" style="53" customWidth="1"/>
    <col min="9220" max="9220" width="15.85546875" style="53" customWidth="1"/>
    <col min="9221" max="9221" width="9.42578125" style="53" customWidth="1"/>
    <col min="9222" max="9222" width="9.140625" style="53" customWidth="1"/>
    <col min="9223" max="9223" width="13.140625" style="53" customWidth="1"/>
    <col min="9224" max="9224" width="12.85546875" style="53" customWidth="1"/>
    <col min="9225" max="9225" width="13.42578125" style="53" customWidth="1"/>
    <col min="9226" max="9226" width="9.85546875" style="53" customWidth="1"/>
    <col min="9227" max="9227" width="9.5703125" style="53" customWidth="1"/>
    <col min="9228" max="9228" width="13.5703125" style="53" customWidth="1"/>
    <col min="9229" max="9472" width="9.140625" style="53"/>
    <col min="9473" max="9473" width="8.5703125" style="53" customWidth="1"/>
    <col min="9474" max="9474" width="6.7109375" style="53" customWidth="1"/>
    <col min="9475" max="9475" width="13.85546875" style="53" customWidth="1"/>
    <col min="9476" max="9476" width="15.85546875" style="53" customWidth="1"/>
    <col min="9477" max="9477" width="9.42578125" style="53" customWidth="1"/>
    <col min="9478" max="9478" width="9.140625" style="53" customWidth="1"/>
    <col min="9479" max="9479" width="13.140625" style="53" customWidth="1"/>
    <col min="9480" max="9480" width="12.85546875" style="53" customWidth="1"/>
    <col min="9481" max="9481" width="13.42578125" style="53" customWidth="1"/>
    <col min="9482" max="9482" width="9.85546875" style="53" customWidth="1"/>
    <col min="9483" max="9483" width="9.5703125" style="53" customWidth="1"/>
    <col min="9484" max="9484" width="13.5703125" style="53" customWidth="1"/>
    <col min="9485" max="9728" width="9.140625" style="53"/>
    <col min="9729" max="9729" width="8.5703125" style="53" customWidth="1"/>
    <col min="9730" max="9730" width="6.7109375" style="53" customWidth="1"/>
    <col min="9731" max="9731" width="13.85546875" style="53" customWidth="1"/>
    <col min="9732" max="9732" width="15.85546875" style="53" customWidth="1"/>
    <col min="9733" max="9733" width="9.42578125" style="53" customWidth="1"/>
    <col min="9734" max="9734" width="9.140625" style="53" customWidth="1"/>
    <col min="9735" max="9735" width="13.140625" style="53" customWidth="1"/>
    <col min="9736" max="9736" width="12.85546875" style="53" customWidth="1"/>
    <col min="9737" max="9737" width="13.42578125" style="53" customWidth="1"/>
    <col min="9738" max="9738" width="9.85546875" style="53" customWidth="1"/>
    <col min="9739" max="9739" width="9.5703125" style="53" customWidth="1"/>
    <col min="9740" max="9740" width="13.5703125" style="53" customWidth="1"/>
    <col min="9741" max="9984" width="9.140625" style="53"/>
    <col min="9985" max="9985" width="8.5703125" style="53" customWidth="1"/>
    <col min="9986" max="9986" width="6.7109375" style="53" customWidth="1"/>
    <col min="9987" max="9987" width="13.85546875" style="53" customWidth="1"/>
    <col min="9988" max="9988" width="15.85546875" style="53" customWidth="1"/>
    <col min="9989" max="9989" width="9.42578125" style="53" customWidth="1"/>
    <col min="9990" max="9990" width="9.140625" style="53" customWidth="1"/>
    <col min="9991" max="9991" width="13.140625" style="53" customWidth="1"/>
    <col min="9992" max="9992" width="12.85546875" style="53" customWidth="1"/>
    <col min="9993" max="9993" width="13.42578125" style="53" customWidth="1"/>
    <col min="9994" max="9994" width="9.85546875" style="53" customWidth="1"/>
    <col min="9995" max="9995" width="9.5703125" style="53" customWidth="1"/>
    <col min="9996" max="9996" width="13.5703125" style="53" customWidth="1"/>
    <col min="9997" max="10240" width="9.140625" style="53"/>
    <col min="10241" max="10241" width="8.5703125" style="53" customWidth="1"/>
    <col min="10242" max="10242" width="6.7109375" style="53" customWidth="1"/>
    <col min="10243" max="10243" width="13.85546875" style="53" customWidth="1"/>
    <col min="10244" max="10244" width="15.85546875" style="53" customWidth="1"/>
    <col min="10245" max="10245" width="9.42578125" style="53" customWidth="1"/>
    <col min="10246" max="10246" width="9.140625" style="53" customWidth="1"/>
    <col min="10247" max="10247" width="13.140625" style="53" customWidth="1"/>
    <col min="10248" max="10248" width="12.85546875" style="53" customWidth="1"/>
    <col min="10249" max="10249" width="13.42578125" style="53" customWidth="1"/>
    <col min="10250" max="10250" width="9.85546875" style="53" customWidth="1"/>
    <col min="10251" max="10251" width="9.5703125" style="53" customWidth="1"/>
    <col min="10252" max="10252" width="13.5703125" style="53" customWidth="1"/>
    <col min="10253" max="10496" width="9.140625" style="53"/>
    <col min="10497" max="10497" width="8.5703125" style="53" customWidth="1"/>
    <col min="10498" max="10498" width="6.7109375" style="53" customWidth="1"/>
    <col min="10499" max="10499" width="13.85546875" style="53" customWidth="1"/>
    <col min="10500" max="10500" width="15.85546875" style="53" customWidth="1"/>
    <col min="10501" max="10501" width="9.42578125" style="53" customWidth="1"/>
    <col min="10502" max="10502" width="9.140625" style="53" customWidth="1"/>
    <col min="10503" max="10503" width="13.140625" style="53" customWidth="1"/>
    <col min="10504" max="10504" width="12.85546875" style="53" customWidth="1"/>
    <col min="10505" max="10505" width="13.42578125" style="53" customWidth="1"/>
    <col min="10506" max="10506" width="9.85546875" style="53" customWidth="1"/>
    <col min="10507" max="10507" width="9.5703125" style="53" customWidth="1"/>
    <col min="10508" max="10508" width="13.5703125" style="53" customWidth="1"/>
    <col min="10509" max="10752" width="9.140625" style="53"/>
    <col min="10753" max="10753" width="8.5703125" style="53" customWidth="1"/>
    <col min="10754" max="10754" width="6.7109375" style="53" customWidth="1"/>
    <col min="10755" max="10755" width="13.85546875" style="53" customWidth="1"/>
    <col min="10756" max="10756" width="15.85546875" style="53" customWidth="1"/>
    <col min="10757" max="10757" width="9.42578125" style="53" customWidth="1"/>
    <col min="10758" max="10758" width="9.140625" style="53" customWidth="1"/>
    <col min="10759" max="10759" width="13.140625" style="53" customWidth="1"/>
    <col min="10760" max="10760" width="12.85546875" style="53" customWidth="1"/>
    <col min="10761" max="10761" width="13.42578125" style="53" customWidth="1"/>
    <col min="10762" max="10762" width="9.85546875" style="53" customWidth="1"/>
    <col min="10763" max="10763" width="9.5703125" style="53" customWidth="1"/>
    <col min="10764" max="10764" width="13.5703125" style="53" customWidth="1"/>
    <col min="10765" max="11008" width="9.140625" style="53"/>
    <col min="11009" max="11009" width="8.5703125" style="53" customWidth="1"/>
    <col min="11010" max="11010" width="6.7109375" style="53" customWidth="1"/>
    <col min="11011" max="11011" width="13.85546875" style="53" customWidth="1"/>
    <col min="11012" max="11012" width="15.85546875" style="53" customWidth="1"/>
    <col min="11013" max="11013" width="9.42578125" style="53" customWidth="1"/>
    <col min="11014" max="11014" width="9.140625" style="53" customWidth="1"/>
    <col min="11015" max="11015" width="13.140625" style="53" customWidth="1"/>
    <col min="11016" max="11016" width="12.85546875" style="53" customWidth="1"/>
    <col min="11017" max="11017" width="13.42578125" style="53" customWidth="1"/>
    <col min="11018" max="11018" width="9.85546875" style="53" customWidth="1"/>
    <col min="11019" max="11019" width="9.5703125" style="53" customWidth="1"/>
    <col min="11020" max="11020" width="13.5703125" style="53" customWidth="1"/>
    <col min="11021" max="11264" width="9.140625" style="53"/>
    <col min="11265" max="11265" width="8.5703125" style="53" customWidth="1"/>
    <col min="11266" max="11266" width="6.7109375" style="53" customWidth="1"/>
    <col min="11267" max="11267" width="13.85546875" style="53" customWidth="1"/>
    <col min="11268" max="11268" width="15.85546875" style="53" customWidth="1"/>
    <col min="11269" max="11269" width="9.42578125" style="53" customWidth="1"/>
    <col min="11270" max="11270" width="9.140625" style="53" customWidth="1"/>
    <col min="11271" max="11271" width="13.140625" style="53" customWidth="1"/>
    <col min="11272" max="11272" width="12.85546875" style="53" customWidth="1"/>
    <col min="11273" max="11273" width="13.42578125" style="53" customWidth="1"/>
    <col min="11274" max="11274" width="9.85546875" style="53" customWidth="1"/>
    <col min="11275" max="11275" width="9.5703125" style="53" customWidth="1"/>
    <col min="11276" max="11276" width="13.5703125" style="53" customWidth="1"/>
    <col min="11277" max="11520" width="9.140625" style="53"/>
    <col min="11521" max="11521" width="8.5703125" style="53" customWidth="1"/>
    <col min="11522" max="11522" width="6.7109375" style="53" customWidth="1"/>
    <col min="11523" max="11523" width="13.85546875" style="53" customWidth="1"/>
    <col min="11524" max="11524" width="15.85546875" style="53" customWidth="1"/>
    <col min="11525" max="11525" width="9.42578125" style="53" customWidth="1"/>
    <col min="11526" max="11526" width="9.140625" style="53" customWidth="1"/>
    <col min="11527" max="11527" width="13.140625" style="53" customWidth="1"/>
    <col min="11528" max="11528" width="12.85546875" style="53" customWidth="1"/>
    <col min="11529" max="11529" width="13.42578125" style="53" customWidth="1"/>
    <col min="11530" max="11530" width="9.85546875" style="53" customWidth="1"/>
    <col min="11531" max="11531" width="9.5703125" style="53" customWidth="1"/>
    <col min="11532" max="11532" width="13.5703125" style="53" customWidth="1"/>
    <col min="11533" max="11776" width="9.140625" style="53"/>
    <col min="11777" max="11777" width="8.5703125" style="53" customWidth="1"/>
    <col min="11778" max="11778" width="6.7109375" style="53" customWidth="1"/>
    <col min="11779" max="11779" width="13.85546875" style="53" customWidth="1"/>
    <col min="11780" max="11780" width="15.85546875" style="53" customWidth="1"/>
    <col min="11781" max="11781" width="9.42578125" style="53" customWidth="1"/>
    <col min="11782" max="11782" width="9.140625" style="53" customWidth="1"/>
    <col min="11783" max="11783" width="13.140625" style="53" customWidth="1"/>
    <col min="11784" max="11784" width="12.85546875" style="53" customWidth="1"/>
    <col min="11785" max="11785" width="13.42578125" style="53" customWidth="1"/>
    <col min="11786" max="11786" width="9.85546875" style="53" customWidth="1"/>
    <col min="11787" max="11787" width="9.5703125" style="53" customWidth="1"/>
    <col min="11788" max="11788" width="13.5703125" style="53" customWidth="1"/>
    <col min="11789" max="12032" width="9.140625" style="53"/>
    <col min="12033" max="12033" width="8.5703125" style="53" customWidth="1"/>
    <col min="12034" max="12034" width="6.7109375" style="53" customWidth="1"/>
    <col min="12035" max="12035" width="13.85546875" style="53" customWidth="1"/>
    <col min="12036" max="12036" width="15.85546875" style="53" customWidth="1"/>
    <col min="12037" max="12037" width="9.42578125" style="53" customWidth="1"/>
    <col min="12038" max="12038" width="9.140625" style="53" customWidth="1"/>
    <col min="12039" max="12039" width="13.140625" style="53" customWidth="1"/>
    <col min="12040" max="12040" width="12.85546875" style="53" customWidth="1"/>
    <col min="12041" max="12041" width="13.42578125" style="53" customWidth="1"/>
    <col min="12042" max="12042" width="9.85546875" style="53" customWidth="1"/>
    <col min="12043" max="12043" width="9.5703125" style="53" customWidth="1"/>
    <col min="12044" max="12044" width="13.5703125" style="53" customWidth="1"/>
    <col min="12045" max="12288" width="9.140625" style="53"/>
    <col min="12289" max="12289" width="8.5703125" style="53" customWidth="1"/>
    <col min="12290" max="12290" width="6.7109375" style="53" customWidth="1"/>
    <col min="12291" max="12291" width="13.85546875" style="53" customWidth="1"/>
    <col min="12292" max="12292" width="15.85546875" style="53" customWidth="1"/>
    <col min="12293" max="12293" width="9.42578125" style="53" customWidth="1"/>
    <col min="12294" max="12294" width="9.140625" style="53" customWidth="1"/>
    <col min="12295" max="12295" width="13.140625" style="53" customWidth="1"/>
    <col min="12296" max="12296" width="12.85546875" style="53" customWidth="1"/>
    <col min="12297" max="12297" width="13.42578125" style="53" customWidth="1"/>
    <col min="12298" max="12298" width="9.85546875" style="53" customWidth="1"/>
    <col min="12299" max="12299" width="9.5703125" style="53" customWidth="1"/>
    <col min="12300" max="12300" width="13.5703125" style="53" customWidth="1"/>
    <col min="12301" max="12544" width="9.140625" style="53"/>
    <col min="12545" max="12545" width="8.5703125" style="53" customWidth="1"/>
    <col min="12546" max="12546" width="6.7109375" style="53" customWidth="1"/>
    <col min="12547" max="12547" width="13.85546875" style="53" customWidth="1"/>
    <col min="12548" max="12548" width="15.85546875" style="53" customWidth="1"/>
    <col min="12549" max="12549" width="9.42578125" style="53" customWidth="1"/>
    <col min="12550" max="12550" width="9.140625" style="53" customWidth="1"/>
    <col min="12551" max="12551" width="13.140625" style="53" customWidth="1"/>
    <col min="12552" max="12552" width="12.85546875" style="53" customWidth="1"/>
    <col min="12553" max="12553" width="13.42578125" style="53" customWidth="1"/>
    <col min="12554" max="12554" width="9.85546875" style="53" customWidth="1"/>
    <col min="12555" max="12555" width="9.5703125" style="53" customWidth="1"/>
    <col min="12556" max="12556" width="13.5703125" style="53" customWidth="1"/>
    <col min="12557" max="12800" width="9.140625" style="53"/>
    <col min="12801" max="12801" width="8.5703125" style="53" customWidth="1"/>
    <col min="12802" max="12802" width="6.7109375" style="53" customWidth="1"/>
    <col min="12803" max="12803" width="13.85546875" style="53" customWidth="1"/>
    <col min="12804" max="12804" width="15.85546875" style="53" customWidth="1"/>
    <col min="12805" max="12805" width="9.42578125" style="53" customWidth="1"/>
    <col min="12806" max="12806" width="9.140625" style="53" customWidth="1"/>
    <col min="12807" max="12807" width="13.140625" style="53" customWidth="1"/>
    <col min="12808" max="12808" width="12.85546875" style="53" customWidth="1"/>
    <col min="12809" max="12809" width="13.42578125" style="53" customWidth="1"/>
    <col min="12810" max="12810" width="9.85546875" style="53" customWidth="1"/>
    <col min="12811" max="12811" width="9.5703125" style="53" customWidth="1"/>
    <col min="12812" max="12812" width="13.5703125" style="53" customWidth="1"/>
    <col min="12813" max="13056" width="9.140625" style="53"/>
    <col min="13057" max="13057" width="8.5703125" style="53" customWidth="1"/>
    <col min="13058" max="13058" width="6.7109375" style="53" customWidth="1"/>
    <col min="13059" max="13059" width="13.85546875" style="53" customWidth="1"/>
    <col min="13060" max="13060" width="15.85546875" style="53" customWidth="1"/>
    <col min="13061" max="13061" width="9.42578125" style="53" customWidth="1"/>
    <col min="13062" max="13062" width="9.140625" style="53" customWidth="1"/>
    <col min="13063" max="13063" width="13.140625" style="53" customWidth="1"/>
    <col min="13064" max="13064" width="12.85546875" style="53" customWidth="1"/>
    <col min="13065" max="13065" width="13.42578125" style="53" customWidth="1"/>
    <col min="13066" max="13066" width="9.85546875" style="53" customWidth="1"/>
    <col min="13067" max="13067" width="9.5703125" style="53" customWidth="1"/>
    <col min="13068" max="13068" width="13.5703125" style="53" customWidth="1"/>
    <col min="13069" max="13312" width="9.140625" style="53"/>
    <col min="13313" max="13313" width="8.5703125" style="53" customWidth="1"/>
    <col min="13314" max="13314" width="6.7109375" style="53" customWidth="1"/>
    <col min="13315" max="13315" width="13.85546875" style="53" customWidth="1"/>
    <col min="13316" max="13316" width="15.85546875" style="53" customWidth="1"/>
    <col min="13317" max="13317" width="9.42578125" style="53" customWidth="1"/>
    <col min="13318" max="13318" width="9.140625" style="53" customWidth="1"/>
    <col min="13319" max="13319" width="13.140625" style="53" customWidth="1"/>
    <col min="13320" max="13320" width="12.85546875" style="53" customWidth="1"/>
    <col min="13321" max="13321" width="13.42578125" style="53" customWidth="1"/>
    <col min="13322" max="13322" width="9.85546875" style="53" customWidth="1"/>
    <col min="13323" max="13323" width="9.5703125" style="53" customWidth="1"/>
    <col min="13324" max="13324" width="13.5703125" style="53" customWidth="1"/>
    <col min="13325" max="13568" width="9.140625" style="53"/>
    <col min="13569" max="13569" width="8.5703125" style="53" customWidth="1"/>
    <col min="13570" max="13570" width="6.7109375" style="53" customWidth="1"/>
    <col min="13571" max="13571" width="13.85546875" style="53" customWidth="1"/>
    <col min="13572" max="13572" width="15.85546875" style="53" customWidth="1"/>
    <col min="13573" max="13573" width="9.42578125" style="53" customWidth="1"/>
    <col min="13574" max="13574" width="9.140625" style="53" customWidth="1"/>
    <col min="13575" max="13575" width="13.140625" style="53" customWidth="1"/>
    <col min="13576" max="13576" width="12.85546875" style="53" customWidth="1"/>
    <col min="13577" max="13577" width="13.42578125" style="53" customWidth="1"/>
    <col min="13578" max="13578" width="9.85546875" style="53" customWidth="1"/>
    <col min="13579" max="13579" width="9.5703125" style="53" customWidth="1"/>
    <col min="13580" max="13580" width="13.5703125" style="53" customWidth="1"/>
    <col min="13581" max="13824" width="9.140625" style="53"/>
    <col min="13825" max="13825" width="8.5703125" style="53" customWidth="1"/>
    <col min="13826" max="13826" width="6.7109375" style="53" customWidth="1"/>
    <col min="13827" max="13827" width="13.85546875" style="53" customWidth="1"/>
    <col min="13828" max="13828" width="15.85546875" style="53" customWidth="1"/>
    <col min="13829" max="13829" width="9.42578125" style="53" customWidth="1"/>
    <col min="13830" max="13830" width="9.140625" style="53" customWidth="1"/>
    <col min="13831" max="13831" width="13.140625" style="53" customWidth="1"/>
    <col min="13832" max="13832" width="12.85546875" style="53" customWidth="1"/>
    <col min="13833" max="13833" width="13.42578125" style="53" customWidth="1"/>
    <col min="13834" max="13834" width="9.85546875" style="53" customWidth="1"/>
    <col min="13835" max="13835" width="9.5703125" style="53" customWidth="1"/>
    <col min="13836" max="13836" width="13.5703125" style="53" customWidth="1"/>
    <col min="13837" max="14080" width="9.140625" style="53"/>
    <col min="14081" max="14081" width="8.5703125" style="53" customWidth="1"/>
    <col min="14082" max="14082" width="6.7109375" style="53" customWidth="1"/>
    <col min="14083" max="14083" width="13.85546875" style="53" customWidth="1"/>
    <col min="14084" max="14084" width="15.85546875" style="53" customWidth="1"/>
    <col min="14085" max="14085" width="9.42578125" style="53" customWidth="1"/>
    <col min="14086" max="14086" width="9.140625" style="53" customWidth="1"/>
    <col min="14087" max="14087" width="13.140625" style="53" customWidth="1"/>
    <col min="14088" max="14088" width="12.85546875" style="53" customWidth="1"/>
    <col min="14089" max="14089" width="13.42578125" style="53" customWidth="1"/>
    <col min="14090" max="14090" width="9.85546875" style="53" customWidth="1"/>
    <col min="14091" max="14091" width="9.5703125" style="53" customWidth="1"/>
    <col min="14092" max="14092" width="13.5703125" style="53" customWidth="1"/>
    <col min="14093" max="14336" width="9.140625" style="53"/>
    <col min="14337" max="14337" width="8.5703125" style="53" customWidth="1"/>
    <col min="14338" max="14338" width="6.7109375" style="53" customWidth="1"/>
    <col min="14339" max="14339" width="13.85546875" style="53" customWidth="1"/>
    <col min="14340" max="14340" width="15.85546875" style="53" customWidth="1"/>
    <col min="14341" max="14341" width="9.42578125" style="53" customWidth="1"/>
    <col min="14342" max="14342" width="9.140625" style="53" customWidth="1"/>
    <col min="14343" max="14343" width="13.140625" style="53" customWidth="1"/>
    <col min="14344" max="14344" width="12.85546875" style="53" customWidth="1"/>
    <col min="14345" max="14345" width="13.42578125" style="53" customWidth="1"/>
    <col min="14346" max="14346" width="9.85546875" style="53" customWidth="1"/>
    <col min="14347" max="14347" width="9.5703125" style="53" customWidth="1"/>
    <col min="14348" max="14348" width="13.5703125" style="53" customWidth="1"/>
    <col min="14349" max="14592" width="9.140625" style="53"/>
    <col min="14593" max="14593" width="8.5703125" style="53" customWidth="1"/>
    <col min="14594" max="14594" width="6.7109375" style="53" customWidth="1"/>
    <col min="14595" max="14595" width="13.85546875" style="53" customWidth="1"/>
    <col min="14596" max="14596" width="15.85546875" style="53" customWidth="1"/>
    <col min="14597" max="14597" width="9.42578125" style="53" customWidth="1"/>
    <col min="14598" max="14598" width="9.140625" style="53" customWidth="1"/>
    <col min="14599" max="14599" width="13.140625" style="53" customWidth="1"/>
    <col min="14600" max="14600" width="12.85546875" style="53" customWidth="1"/>
    <col min="14601" max="14601" width="13.42578125" style="53" customWidth="1"/>
    <col min="14602" max="14602" width="9.85546875" style="53" customWidth="1"/>
    <col min="14603" max="14603" width="9.5703125" style="53" customWidth="1"/>
    <col min="14604" max="14604" width="13.5703125" style="53" customWidth="1"/>
    <col min="14605" max="14848" width="9.140625" style="53"/>
    <col min="14849" max="14849" width="8.5703125" style="53" customWidth="1"/>
    <col min="14850" max="14850" width="6.7109375" style="53" customWidth="1"/>
    <col min="14851" max="14851" width="13.85546875" style="53" customWidth="1"/>
    <col min="14852" max="14852" width="15.85546875" style="53" customWidth="1"/>
    <col min="14853" max="14853" width="9.42578125" style="53" customWidth="1"/>
    <col min="14854" max="14854" width="9.140625" style="53" customWidth="1"/>
    <col min="14855" max="14855" width="13.140625" style="53" customWidth="1"/>
    <col min="14856" max="14856" width="12.85546875" style="53" customWidth="1"/>
    <col min="14857" max="14857" width="13.42578125" style="53" customWidth="1"/>
    <col min="14858" max="14858" width="9.85546875" style="53" customWidth="1"/>
    <col min="14859" max="14859" width="9.5703125" style="53" customWidth="1"/>
    <col min="14860" max="14860" width="13.5703125" style="53" customWidth="1"/>
    <col min="14861" max="15104" width="9.140625" style="53"/>
    <col min="15105" max="15105" width="8.5703125" style="53" customWidth="1"/>
    <col min="15106" max="15106" width="6.7109375" style="53" customWidth="1"/>
    <col min="15107" max="15107" width="13.85546875" style="53" customWidth="1"/>
    <col min="15108" max="15108" width="15.85546875" style="53" customWidth="1"/>
    <col min="15109" max="15109" width="9.42578125" style="53" customWidth="1"/>
    <col min="15110" max="15110" width="9.140625" style="53" customWidth="1"/>
    <col min="15111" max="15111" width="13.140625" style="53" customWidth="1"/>
    <col min="15112" max="15112" width="12.85546875" style="53" customWidth="1"/>
    <col min="15113" max="15113" width="13.42578125" style="53" customWidth="1"/>
    <col min="15114" max="15114" width="9.85546875" style="53" customWidth="1"/>
    <col min="15115" max="15115" width="9.5703125" style="53" customWidth="1"/>
    <col min="15116" max="15116" width="13.5703125" style="53" customWidth="1"/>
    <col min="15117" max="15360" width="9.140625" style="53"/>
    <col min="15361" max="15361" width="8.5703125" style="53" customWidth="1"/>
    <col min="15362" max="15362" width="6.7109375" style="53" customWidth="1"/>
    <col min="15363" max="15363" width="13.85546875" style="53" customWidth="1"/>
    <col min="15364" max="15364" width="15.85546875" style="53" customWidth="1"/>
    <col min="15365" max="15365" width="9.42578125" style="53" customWidth="1"/>
    <col min="15366" max="15366" width="9.140625" style="53" customWidth="1"/>
    <col min="15367" max="15367" width="13.140625" style="53" customWidth="1"/>
    <col min="15368" max="15368" width="12.85546875" style="53" customWidth="1"/>
    <col min="15369" max="15369" width="13.42578125" style="53" customWidth="1"/>
    <col min="15370" max="15370" width="9.85546875" style="53" customWidth="1"/>
    <col min="15371" max="15371" width="9.5703125" style="53" customWidth="1"/>
    <col min="15372" max="15372" width="13.5703125" style="53" customWidth="1"/>
    <col min="15373" max="15616" width="9.140625" style="53"/>
    <col min="15617" max="15617" width="8.5703125" style="53" customWidth="1"/>
    <col min="15618" max="15618" width="6.7109375" style="53" customWidth="1"/>
    <col min="15619" max="15619" width="13.85546875" style="53" customWidth="1"/>
    <col min="15620" max="15620" width="15.85546875" style="53" customWidth="1"/>
    <col min="15621" max="15621" width="9.42578125" style="53" customWidth="1"/>
    <col min="15622" max="15622" width="9.140625" style="53" customWidth="1"/>
    <col min="15623" max="15623" width="13.140625" style="53" customWidth="1"/>
    <col min="15624" max="15624" width="12.85546875" style="53" customWidth="1"/>
    <col min="15625" max="15625" width="13.42578125" style="53" customWidth="1"/>
    <col min="15626" max="15626" width="9.85546875" style="53" customWidth="1"/>
    <col min="15627" max="15627" width="9.5703125" style="53" customWidth="1"/>
    <col min="15628" max="15628" width="13.5703125" style="53" customWidth="1"/>
    <col min="15629" max="15872" width="9.140625" style="53"/>
    <col min="15873" max="15873" width="8.5703125" style="53" customWidth="1"/>
    <col min="15874" max="15874" width="6.7109375" style="53" customWidth="1"/>
    <col min="15875" max="15875" width="13.85546875" style="53" customWidth="1"/>
    <col min="15876" max="15876" width="15.85546875" style="53" customWidth="1"/>
    <col min="15877" max="15877" width="9.42578125" style="53" customWidth="1"/>
    <col min="15878" max="15878" width="9.140625" style="53" customWidth="1"/>
    <col min="15879" max="15879" width="13.140625" style="53" customWidth="1"/>
    <col min="15880" max="15880" width="12.85546875" style="53" customWidth="1"/>
    <col min="15881" max="15881" width="13.42578125" style="53" customWidth="1"/>
    <col min="15882" max="15882" width="9.85546875" style="53" customWidth="1"/>
    <col min="15883" max="15883" width="9.5703125" style="53" customWidth="1"/>
    <col min="15884" max="15884" width="13.5703125" style="53" customWidth="1"/>
    <col min="15885" max="16128" width="9.140625" style="53"/>
    <col min="16129" max="16129" width="8.5703125" style="53" customWidth="1"/>
    <col min="16130" max="16130" width="6.7109375" style="53" customWidth="1"/>
    <col min="16131" max="16131" width="13.85546875" style="53" customWidth="1"/>
    <col min="16132" max="16132" width="15.85546875" style="53" customWidth="1"/>
    <col min="16133" max="16133" width="9.42578125" style="53" customWidth="1"/>
    <col min="16134" max="16134" width="9.140625" style="53" customWidth="1"/>
    <col min="16135" max="16135" width="13.140625" style="53" customWidth="1"/>
    <col min="16136" max="16136" width="12.85546875" style="53" customWidth="1"/>
    <col min="16137" max="16137" width="13.42578125" style="53" customWidth="1"/>
    <col min="16138" max="16138" width="9.85546875" style="53" customWidth="1"/>
    <col min="16139" max="16139" width="9.5703125" style="53" customWidth="1"/>
    <col min="16140" max="16140" width="13.5703125" style="53" customWidth="1"/>
    <col min="16141" max="16384" width="9.140625" style="53"/>
  </cols>
  <sheetData>
    <row r="1" spans="1:12" ht="27.75" customHeight="1">
      <c r="A1" s="430" t="s">
        <v>539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</row>
    <row r="2" spans="1:12" ht="124.5" customHeight="1">
      <c r="A2" s="248" t="s">
        <v>158</v>
      </c>
      <c r="B2" s="248" t="s">
        <v>159</v>
      </c>
      <c r="C2" s="248" t="s">
        <v>151</v>
      </c>
      <c r="D2" s="248" t="s">
        <v>152</v>
      </c>
      <c r="E2" s="248" t="s">
        <v>153</v>
      </c>
      <c r="F2" s="248" t="s">
        <v>154</v>
      </c>
      <c r="G2" s="248" t="s">
        <v>160</v>
      </c>
      <c r="H2" s="248" t="s">
        <v>157</v>
      </c>
      <c r="I2" s="248" t="s">
        <v>161</v>
      </c>
      <c r="J2" s="248" t="s">
        <v>155</v>
      </c>
      <c r="K2" s="248" t="s">
        <v>156</v>
      </c>
      <c r="L2" s="248" t="s">
        <v>43</v>
      </c>
    </row>
    <row r="3" spans="1:12" ht="20.100000000000001" customHeight="1">
      <c r="A3" s="499" t="s">
        <v>17</v>
      </c>
      <c r="B3" s="249" t="s">
        <v>8</v>
      </c>
      <c r="C3" s="250">
        <v>0</v>
      </c>
      <c r="D3" s="250">
        <v>0</v>
      </c>
      <c r="E3" s="250">
        <v>2</v>
      </c>
      <c r="F3" s="250">
        <v>10</v>
      </c>
      <c r="G3" s="250">
        <v>210</v>
      </c>
      <c r="H3" s="250">
        <v>20</v>
      </c>
      <c r="I3" s="250">
        <v>23</v>
      </c>
      <c r="J3" s="250">
        <v>150</v>
      </c>
      <c r="K3" s="250">
        <v>5</v>
      </c>
      <c r="L3" s="250">
        <f>SUM(C3:K3)</f>
        <v>420</v>
      </c>
    </row>
    <row r="4" spans="1:12" ht="20.100000000000001" customHeight="1">
      <c r="A4" s="500"/>
      <c r="B4" s="249" t="s">
        <v>7</v>
      </c>
      <c r="C4" s="250">
        <v>0</v>
      </c>
      <c r="D4" s="250">
        <v>0</v>
      </c>
      <c r="E4" s="250">
        <v>0</v>
      </c>
      <c r="F4" s="250">
        <v>20</v>
      </c>
      <c r="G4" s="250">
        <v>120</v>
      </c>
      <c r="H4" s="250">
        <v>11</v>
      </c>
      <c r="I4" s="250">
        <v>12</v>
      </c>
      <c r="J4" s="250">
        <v>30</v>
      </c>
      <c r="K4" s="250">
        <v>11</v>
      </c>
      <c r="L4" s="250">
        <f>SUM(C4:K4)</f>
        <v>204</v>
      </c>
    </row>
    <row r="5" spans="1:12" ht="20.100000000000001" customHeight="1">
      <c r="A5" s="501"/>
      <c r="B5" s="249" t="s">
        <v>162</v>
      </c>
      <c r="C5" s="250">
        <f>SUM(C3:C4)</f>
        <v>0</v>
      </c>
      <c r="D5" s="250">
        <f t="shared" ref="D5:L5" si="0">SUM(D3:D4)</f>
        <v>0</v>
      </c>
      <c r="E5" s="250">
        <f t="shared" si="0"/>
        <v>2</v>
      </c>
      <c r="F5" s="250">
        <f t="shared" si="0"/>
        <v>30</v>
      </c>
      <c r="G5" s="250">
        <f t="shared" si="0"/>
        <v>330</v>
      </c>
      <c r="H5" s="250">
        <f t="shared" si="0"/>
        <v>31</v>
      </c>
      <c r="I5" s="250">
        <f t="shared" si="0"/>
        <v>35</v>
      </c>
      <c r="J5" s="250">
        <f t="shared" si="0"/>
        <v>180</v>
      </c>
      <c r="K5" s="250">
        <f t="shared" si="0"/>
        <v>16</v>
      </c>
      <c r="L5" s="251">
        <f t="shared" si="0"/>
        <v>624</v>
      </c>
    </row>
    <row r="6" spans="1:12" ht="20.100000000000001" customHeight="1">
      <c r="A6" s="499" t="s">
        <v>18</v>
      </c>
      <c r="B6" s="249" t="s">
        <v>8</v>
      </c>
      <c r="C6" s="250">
        <v>0</v>
      </c>
      <c r="D6" s="250">
        <v>2</v>
      </c>
      <c r="E6" s="250">
        <v>5</v>
      </c>
      <c r="F6" s="250">
        <v>23</v>
      </c>
      <c r="G6" s="250">
        <v>1520</v>
      </c>
      <c r="H6" s="250">
        <v>60</v>
      </c>
      <c r="I6" s="250">
        <v>52</v>
      </c>
      <c r="J6" s="250">
        <v>502</v>
      </c>
      <c r="K6" s="250">
        <v>114</v>
      </c>
      <c r="L6" s="250">
        <f>SUM(C6:K6)</f>
        <v>2278</v>
      </c>
    </row>
    <row r="7" spans="1:12" ht="20.100000000000001" customHeight="1">
      <c r="A7" s="500"/>
      <c r="B7" s="249" t="s">
        <v>7</v>
      </c>
      <c r="C7" s="250">
        <v>0</v>
      </c>
      <c r="D7" s="250">
        <v>0</v>
      </c>
      <c r="E7" s="250">
        <v>6</v>
      </c>
      <c r="F7" s="250">
        <v>15</v>
      </c>
      <c r="G7" s="250">
        <v>215</v>
      </c>
      <c r="H7" s="250">
        <v>25</v>
      </c>
      <c r="I7" s="250">
        <v>60</v>
      </c>
      <c r="J7" s="250">
        <v>501</v>
      </c>
      <c r="K7" s="250">
        <v>56</v>
      </c>
      <c r="L7" s="250">
        <f>SUM(C7:K7)</f>
        <v>878</v>
      </c>
    </row>
    <row r="8" spans="1:12" ht="20.100000000000001" customHeight="1">
      <c r="A8" s="501"/>
      <c r="B8" s="249" t="s">
        <v>162</v>
      </c>
      <c r="C8" s="250">
        <f>SUM(C6:C7)</f>
        <v>0</v>
      </c>
      <c r="D8" s="250">
        <f t="shared" ref="D8:L8" si="1">SUM(D6:D7)</f>
        <v>2</v>
      </c>
      <c r="E8" s="250">
        <f t="shared" si="1"/>
        <v>11</v>
      </c>
      <c r="F8" s="250">
        <f t="shared" si="1"/>
        <v>38</v>
      </c>
      <c r="G8" s="250">
        <f t="shared" si="1"/>
        <v>1735</v>
      </c>
      <c r="H8" s="250">
        <f t="shared" si="1"/>
        <v>85</v>
      </c>
      <c r="I8" s="250">
        <f t="shared" si="1"/>
        <v>112</v>
      </c>
      <c r="J8" s="250">
        <f t="shared" si="1"/>
        <v>1003</v>
      </c>
      <c r="K8" s="250">
        <f t="shared" si="1"/>
        <v>170</v>
      </c>
      <c r="L8" s="251">
        <f t="shared" si="1"/>
        <v>3156</v>
      </c>
    </row>
    <row r="9" spans="1:12" ht="20.100000000000001" customHeight="1">
      <c r="A9" s="502" t="s">
        <v>19</v>
      </c>
      <c r="B9" s="249" t="s">
        <v>8</v>
      </c>
      <c r="C9" s="250">
        <f>SUM(C3+C6)</f>
        <v>0</v>
      </c>
      <c r="D9" s="250">
        <f>SUM(D3+D6)</f>
        <v>2</v>
      </c>
      <c r="E9" s="250">
        <f t="shared" ref="E9:L9" si="2">SUM(E3+E6)</f>
        <v>7</v>
      </c>
      <c r="F9" s="250">
        <f t="shared" si="2"/>
        <v>33</v>
      </c>
      <c r="G9" s="250">
        <f t="shared" si="2"/>
        <v>1730</v>
      </c>
      <c r="H9" s="250">
        <f t="shared" si="2"/>
        <v>80</v>
      </c>
      <c r="I9" s="250">
        <f t="shared" si="2"/>
        <v>75</v>
      </c>
      <c r="J9" s="250">
        <f t="shared" si="2"/>
        <v>652</v>
      </c>
      <c r="K9" s="250">
        <f t="shared" si="2"/>
        <v>119</v>
      </c>
      <c r="L9" s="250">
        <f t="shared" si="2"/>
        <v>2698</v>
      </c>
    </row>
    <row r="10" spans="1:12" ht="20.100000000000001" customHeight="1">
      <c r="A10" s="503"/>
      <c r="B10" s="249" t="s">
        <v>7</v>
      </c>
      <c r="C10" s="250">
        <f>SUM(C4+C7)</f>
        <v>0</v>
      </c>
      <c r="D10" s="250">
        <f t="shared" ref="D10:L10" si="3">SUM(D4+D7)</f>
        <v>0</v>
      </c>
      <c r="E10" s="250">
        <f t="shared" si="3"/>
        <v>6</v>
      </c>
      <c r="F10" s="250">
        <f t="shared" si="3"/>
        <v>35</v>
      </c>
      <c r="G10" s="250">
        <f t="shared" si="3"/>
        <v>335</v>
      </c>
      <c r="H10" s="250">
        <f t="shared" si="3"/>
        <v>36</v>
      </c>
      <c r="I10" s="250">
        <f t="shared" si="3"/>
        <v>72</v>
      </c>
      <c r="J10" s="250">
        <f t="shared" si="3"/>
        <v>531</v>
      </c>
      <c r="K10" s="250">
        <f t="shared" si="3"/>
        <v>67</v>
      </c>
      <c r="L10" s="250">
        <f t="shared" si="3"/>
        <v>1082</v>
      </c>
    </row>
    <row r="11" spans="1:12" ht="20.100000000000001" customHeight="1">
      <c r="A11" s="504"/>
      <c r="B11" s="252" t="s">
        <v>162</v>
      </c>
      <c r="C11" s="253">
        <f>SUM(C9:C10)</f>
        <v>0</v>
      </c>
      <c r="D11" s="253">
        <f t="shared" ref="D11:L11" si="4">SUM(D9:D10)</f>
        <v>2</v>
      </c>
      <c r="E11" s="253">
        <f t="shared" si="4"/>
        <v>13</v>
      </c>
      <c r="F11" s="253">
        <f t="shared" si="4"/>
        <v>68</v>
      </c>
      <c r="G11" s="253">
        <f t="shared" si="4"/>
        <v>2065</v>
      </c>
      <c r="H11" s="253">
        <f t="shared" si="4"/>
        <v>116</v>
      </c>
      <c r="I11" s="253">
        <f t="shared" si="4"/>
        <v>147</v>
      </c>
      <c r="J11" s="253">
        <f t="shared" si="4"/>
        <v>1183</v>
      </c>
      <c r="K11" s="253">
        <f t="shared" si="4"/>
        <v>186</v>
      </c>
      <c r="L11" s="254">
        <f t="shared" si="4"/>
        <v>3780</v>
      </c>
    </row>
    <row r="12" spans="1:12" ht="15">
      <c r="A12" s="160" t="s">
        <v>165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</row>
    <row r="13" spans="1:12" ht="16.5">
      <c r="A13" s="256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</row>
    <row r="14" spans="1:12" ht="15">
      <c r="A14" s="430" t="s">
        <v>540</v>
      </c>
      <c r="B14" s="430"/>
      <c r="C14" s="430"/>
      <c r="D14" s="430"/>
      <c r="E14" s="430"/>
      <c r="F14" s="430"/>
      <c r="G14" s="430"/>
      <c r="H14" s="430"/>
      <c r="I14" s="430"/>
      <c r="J14" s="430"/>
      <c r="K14" s="430"/>
      <c r="L14" s="430"/>
    </row>
    <row r="15" spans="1:12" ht="120">
      <c r="A15" s="248" t="s">
        <v>158</v>
      </c>
      <c r="B15" s="248" t="s">
        <v>159</v>
      </c>
      <c r="C15" s="248" t="s">
        <v>151</v>
      </c>
      <c r="D15" s="248" t="s">
        <v>152</v>
      </c>
      <c r="E15" s="248" t="s">
        <v>153</v>
      </c>
      <c r="F15" s="248" t="s">
        <v>154</v>
      </c>
      <c r="G15" s="248" t="s">
        <v>160</v>
      </c>
      <c r="H15" s="248" t="s">
        <v>157</v>
      </c>
      <c r="I15" s="248" t="s">
        <v>161</v>
      </c>
      <c r="J15" s="248" t="s">
        <v>155</v>
      </c>
      <c r="K15" s="248" t="s">
        <v>156</v>
      </c>
      <c r="L15" s="248" t="s">
        <v>43</v>
      </c>
    </row>
    <row r="16" spans="1:12" ht="20.100000000000001" customHeight="1">
      <c r="A16" s="499" t="s">
        <v>17</v>
      </c>
      <c r="B16" s="249" t="s">
        <v>8</v>
      </c>
      <c r="C16" s="250">
        <v>5</v>
      </c>
      <c r="D16" s="250">
        <v>0</v>
      </c>
      <c r="E16" s="250">
        <v>0</v>
      </c>
      <c r="F16" s="250">
        <v>5</v>
      </c>
      <c r="G16" s="250">
        <v>127</v>
      </c>
      <c r="H16" s="250">
        <v>17</v>
      </c>
      <c r="I16" s="250">
        <v>57</v>
      </c>
      <c r="J16" s="250">
        <v>264</v>
      </c>
      <c r="K16" s="250">
        <v>75</v>
      </c>
      <c r="L16" s="250">
        <v>550</v>
      </c>
    </row>
    <row r="17" spans="1:12" ht="20.100000000000001" customHeight="1">
      <c r="A17" s="500"/>
      <c r="B17" s="249" t="s">
        <v>7</v>
      </c>
      <c r="C17" s="250">
        <v>0</v>
      </c>
      <c r="D17" s="250">
        <v>0</v>
      </c>
      <c r="E17" s="250">
        <v>0</v>
      </c>
      <c r="F17" s="250">
        <v>0</v>
      </c>
      <c r="G17" s="250">
        <v>68</v>
      </c>
      <c r="H17" s="250">
        <v>0</v>
      </c>
      <c r="I17" s="250">
        <v>19</v>
      </c>
      <c r="J17" s="250">
        <v>145</v>
      </c>
      <c r="K17" s="250">
        <v>15</v>
      </c>
      <c r="L17" s="250">
        <v>247</v>
      </c>
    </row>
    <row r="18" spans="1:12" ht="20.100000000000001" customHeight="1">
      <c r="A18" s="501"/>
      <c r="B18" s="249" t="s">
        <v>162</v>
      </c>
      <c r="C18" s="250">
        <v>5</v>
      </c>
      <c r="D18" s="250">
        <v>0</v>
      </c>
      <c r="E18" s="250">
        <v>0</v>
      </c>
      <c r="F18" s="250">
        <v>5</v>
      </c>
      <c r="G18" s="250">
        <v>195</v>
      </c>
      <c r="H18" s="250">
        <v>17</v>
      </c>
      <c r="I18" s="250">
        <v>76</v>
      </c>
      <c r="J18" s="250">
        <v>409</v>
      </c>
      <c r="K18" s="250">
        <v>90</v>
      </c>
      <c r="L18" s="251">
        <v>797</v>
      </c>
    </row>
    <row r="19" spans="1:12" ht="20.100000000000001" customHeight="1">
      <c r="A19" s="499" t="s">
        <v>18</v>
      </c>
      <c r="B19" s="249" t="s">
        <v>8</v>
      </c>
      <c r="C19" s="250">
        <v>98</v>
      </c>
      <c r="D19" s="250">
        <v>61</v>
      </c>
      <c r="E19" s="250">
        <v>41</v>
      </c>
      <c r="F19" s="250">
        <v>268</v>
      </c>
      <c r="G19" s="250">
        <v>495</v>
      </c>
      <c r="H19" s="250">
        <v>170</v>
      </c>
      <c r="I19" s="250">
        <v>291</v>
      </c>
      <c r="J19" s="250">
        <v>469</v>
      </c>
      <c r="K19" s="250">
        <v>298</v>
      </c>
      <c r="L19" s="250">
        <v>2191</v>
      </c>
    </row>
    <row r="20" spans="1:12" ht="20.100000000000001" customHeight="1">
      <c r="A20" s="500"/>
      <c r="B20" s="249" t="s">
        <v>7</v>
      </c>
      <c r="C20" s="250">
        <v>26</v>
      </c>
      <c r="D20" s="250">
        <v>8</v>
      </c>
      <c r="E20" s="250">
        <v>6</v>
      </c>
      <c r="F20" s="250">
        <v>87</v>
      </c>
      <c r="G20" s="250">
        <v>161</v>
      </c>
      <c r="H20" s="250">
        <v>70</v>
      </c>
      <c r="I20" s="250">
        <v>136</v>
      </c>
      <c r="J20" s="250">
        <v>275</v>
      </c>
      <c r="K20" s="250">
        <v>63</v>
      </c>
      <c r="L20" s="250">
        <v>832</v>
      </c>
    </row>
    <row r="21" spans="1:12" ht="20.100000000000001" customHeight="1">
      <c r="A21" s="501"/>
      <c r="B21" s="249" t="s">
        <v>162</v>
      </c>
      <c r="C21" s="250">
        <v>124</v>
      </c>
      <c r="D21" s="250">
        <v>69</v>
      </c>
      <c r="E21" s="250">
        <v>47</v>
      </c>
      <c r="F21" s="250">
        <v>355</v>
      </c>
      <c r="G21" s="250">
        <v>670</v>
      </c>
      <c r="H21" s="250">
        <v>240</v>
      </c>
      <c r="I21" s="250">
        <v>431</v>
      </c>
      <c r="J21" s="250">
        <v>772</v>
      </c>
      <c r="K21" s="250">
        <v>361</v>
      </c>
      <c r="L21" s="251">
        <v>3069</v>
      </c>
    </row>
    <row r="22" spans="1:12" ht="20.100000000000001" customHeight="1">
      <c r="A22" s="502" t="s">
        <v>19</v>
      </c>
      <c r="B22" s="249" t="s">
        <v>8</v>
      </c>
      <c r="C22" s="250">
        <v>103</v>
      </c>
      <c r="D22" s="250">
        <v>61</v>
      </c>
      <c r="E22" s="250">
        <v>41</v>
      </c>
      <c r="F22" s="250">
        <v>273</v>
      </c>
      <c r="G22" s="250">
        <v>622</v>
      </c>
      <c r="H22" s="250">
        <v>187</v>
      </c>
      <c r="I22" s="250">
        <v>348</v>
      </c>
      <c r="J22" s="250">
        <v>733</v>
      </c>
      <c r="K22" s="250">
        <v>373</v>
      </c>
      <c r="L22" s="250">
        <v>2741</v>
      </c>
    </row>
    <row r="23" spans="1:12" ht="20.100000000000001" customHeight="1">
      <c r="A23" s="503"/>
      <c r="B23" s="249" t="s">
        <v>7</v>
      </c>
      <c r="C23" s="250">
        <v>26</v>
      </c>
      <c r="D23" s="250">
        <v>8</v>
      </c>
      <c r="E23" s="250">
        <v>6</v>
      </c>
      <c r="F23" s="250">
        <v>87</v>
      </c>
      <c r="G23" s="250">
        <v>229</v>
      </c>
      <c r="H23" s="250">
        <v>70</v>
      </c>
      <c r="I23" s="250">
        <v>155</v>
      </c>
      <c r="J23" s="250">
        <v>420</v>
      </c>
      <c r="K23" s="250">
        <v>78</v>
      </c>
      <c r="L23" s="250">
        <v>1079</v>
      </c>
    </row>
    <row r="24" spans="1:12" ht="20.100000000000001" customHeight="1">
      <c r="A24" s="504"/>
      <c r="B24" s="252" t="s">
        <v>162</v>
      </c>
      <c r="C24" s="253">
        <v>129</v>
      </c>
      <c r="D24" s="253">
        <v>69</v>
      </c>
      <c r="E24" s="253">
        <v>47</v>
      </c>
      <c r="F24" s="253">
        <v>360</v>
      </c>
      <c r="G24" s="253">
        <v>851</v>
      </c>
      <c r="H24" s="253">
        <v>257</v>
      </c>
      <c r="I24" s="253">
        <v>503</v>
      </c>
      <c r="J24" s="253">
        <v>1153</v>
      </c>
      <c r="K24" s="253">
        <v>451</v>
      </c>
      <c r="L24" s="254">
        <v>3820</v>
      </c>
    </row>
    <row r="25" spans="1:12" ht="15">
      <c r="A25" s="160" t="s">
        <v>165</v>
      </c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</row>
    <row r="26" spans="1:12" ht="16.5">
      <c r="A26" s="256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</row>
    <row r="27" spans="1:12" ht="15">
      <c r="A27" s="430" t="s">
        <v>541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</row>
    <row r="28" spans="1:12" ht="128.25">
      <c r="A28" s="257" t="s">
        <v>158</v>
      </c>
      <c r="B28" s="257" t="s">
        <v>159</v>
      </c>
      <c r="C28" s="257" t="s">
        <v>151</v>
      </c>
      <c r="D28" s="257" t="s">
        <v>152</v>
      </c>
      <c r="E28" s="257" t="s">
        <v>153</v>
      </c>
      <c r="F28" s="257" t="s">
        <v>154</v>
      </c>
      <c r="G28" s="257" t="s">
        <v>160</v>
      </c>
      <c r="H28" s="257" t="s">
        <v>157</v>
      </c>
      <c r="I28" s="257" t="s">
        <v>161</v>
      </c>
      <c r="J28" s="257" t="s">
        <v>155</v>
      </c>
      <c r="K28" s="257" t="s">
        <v>156</v>
      </c>
      <c r="L28" s="257" t="s">
        <v>43</v>
      </c>
    </row>
    <row r="29" spans="1:12" ht="15">
      <c r="A29" s="505" t="s">
        <v>17</v>
      </c>
      <c r="B29" s="258" t="s">
        <v>8</v>
      </c>
      <c r="C29" s="258">
        <v>17</v>
      </c>
      <c r="D29" s="258">
        <v>25</v>
      </c>
      <c r="E29" s="258">
        <v>11</v>
      </c>
      <c r="F29" s="258">
        <v>13</v>
      </c>
      <c r="G29" s="258">
        <v>116</v>
      </c>
      <c r="H29" s="258">
        <v>3</v>
      </c>
      <c r="I29" s="258">
        <v>126</v>
      </c>
      <c r="J29" s="258">
        <v>156</v>
      </c>
      <c r="K29" s="258">
        <v>130</v>
      </c>
      <c r="L29" s="258">
        <f t="shared" ref="L29:L37" si="5">SUM(C29:K29)</f>
        <v>597</v>
      </c>
    </row>
    <row r="30" spans="1:12" ht="15">
      <c r="A30" s="506"/>
      <c r="B30" s="258" t="s">
        <v>7</v>
      </c>
      <c r="C30" s="258">
        <v>0</v>
      </c>
      <c r="D30" s="258">
        <v>1</v>
      </c>
      <c r="E30" s="258">
        <v>6</v>
      </c>
      <c r="F30" s="258">
        <v>4</v>
      </c>
      <c r="G30" s="258">
        <v>58</v>
      </c>
      <c r="H30" s="258">
        <v>0</v>
      </c>
      <c r="I30" s="258">
        <v>86</v>
      </c>
      <c r="J30" s="258">
        <v>125</v>
      </c>
      <c r="K30" s="258">
        <v>21</v>
      </c>
      <c r="L30" s="258">
        <f t="shared" si="5"/>
        <v>301</v>
      </c>
    </row>
    <row r="31" spans="1:12" ht="15">
      <c r="A31" s="507"/>
      <c r="B31" s="258" t="s">
        <v>162</v>
      </c>
      <c r="C31" s="258">
        <f>C29+C30</f>
        <v>17</v>
      </c>
      <c r="D31" s="258">
        <f t="shared" ref="D31:K31" si="6">D29+D30</f>
        <v>26</v>
      </c>
      <c r="E31" s="258">
        <f t="shared" si="6"/>
        <v>17</v>
      </c>
      <c r="F31" s="258">
        <f t="shared" si="6"/>
        <v>17</v>
      </c>
      <c r="G31" s="258">
        <f t="shared" si="6"/>
        <v>174</v>
      </c>
      <c r="H31" s="258">
        <f t="shared" si="6"/>
        <v>3</v>
      </c>
      <c r="I31" s="258">
        <f t="shared" si="6"/>
        <v>212</v>
      </c>
      <c r="J31" s="258">
        <f t="shared" si="6"/>
        <v>281</v>
      </c>
      <c r="K31" s="258">
        <f t="shared" si="6"/>
        <v>151</v>
      </c>
      <c r="L31" s="259">
        <f>SUM(C31:K31)</f>
        <v>898</v>
      </c>
    </row>
    <row r="32" spans="1:12" ht="15">
      <c r="A32" s="505" t="s">
        <v>18</v>
      </c>
      <c r="B32" s="258" t="s">
        <v>8</v>
      </c>
      <c r="C32" s="258">
        <v>86</v>
      </c>
      <c r="D32" s="258">
        <v>59</v>
      </c>
      <c r="E32" s="258">
        <v>121</v>
      </c>
      <c r="F32" s="258">
        <v>91</v>
      </c>
      <c r="G32" s="258">
        <v>121</v>
      </c>
      <c r="H32" s="258">
        <v>88</v>
      </c>
      <c r="I32" s="258">
        <v>782</v>
      </c>
      <c r="J32" s="258">
        <v>349</v>
      </c>
      <c r="K32" s="258">
        <v>433</v>
      </c>
      <c r="L32" s="258">
        <f t="shared" si="5"/>
        <v>2130</v>
      </c>
    </row>
    <row r="33" spans="1:12" ht="15">
      <c r="A33" s="506"/>
      <c r="B33" s="258" t="s">
        <v>7</v>
      </c>
      <c r="C33" s="258">
        <v>79</v>
      </c>
      <c r="D33" s="258">
        <v>22</v>
      </c>
      <c r="E33" s="258">
        <v>28</v>
      </c>
      <c r="F33" s="258">
        <v>64</v>
      </c>
      <c r="G33" s="258">
        <v>78</v>
      </c>
      <c r="H33" s="258">
        <v>129</v>
      </c>
      <c r="I33" s="258">
        <v>200</v>
      </c>
      <c r="J33" s="258">
        <v>189</v>
      </c>
      <c r="K33" s="258">
        <v>117</v>
      </c>
      <c r="L33" s="258">
        <f t="shared" si="5"/>
        <v>906</v>
      </c>
    </row>
    <row r="34" spans="1:12" ht="15">
      <c r="A34" s="507"/>
      <c r="B34" s="258" t="s">
        <v>162</v>
      </c>
      <c r="C34" s="258">
        <f>C32+C33</f>
        <v>165</v>
      </c>
      <c r="D34" s="258">
        <f t="shared" ref="D34:K34" si="7">D32+D33</f>
        <v>81</v>
      </c>
      <c r="E34" s="258">
        <f t="shared" si="7"/>
        <v>149</v>
      </c>
      <c r="F34" s="258">
        <f t="shared" si="7"/>
        <v>155</v>
      </c>
      <c r="G34" s="258">
        <f t="shared" si="7"/>
        <v>199</v>
      </c>
      <c r="H34" s="258">
        <f t="shared" si="7"/>
        <v>217</v>
      </c>
      <c r="I34" s="258">
        <f t="shared" si="7"/>
        <v>982</v>
      </c>
      <c r="J34" s="258">
        <f t="shared" si="7"/>
        <v>538</v>
      </c>
      <c r="K34" s="258">
        <f t="shared" si="7"/>
        <v>550</v>
      </c>
      <c r="L34" s="259">
        <f t="shared" si="5"/>
        <v>3036</v>
      </c>
    </row>
    <row r="35" spans="1:12" ht="15">
      <c r="A35" s="505" t="s">
        <v>19</v>
      </c>
      <c r="B35" s="258" t="s">
        <v>8</v>
      </c>
      <c r="C35" s="258">
        <f>C29+C32</f>
        <v>103</v>
      </c>
      <c r="D35" s="258">
        <f t="shared" ref="D35:K36" si="8">D29+D32</f>
        <v>84</v>
      </c>
      <c r="E35" s="258">
        <f t="shared" si="8"/>
        <v>132</v>
      </c>
      <c r="F35" s="258">
        <f t="shared" si="8"/>
        <v>104</v>
      </c>
      <c r="G35" s="258">
        <f t="shared" si="8"/>
        <v>237</v>
      </c>
      <c r="H35" s="258">
        <f t="shared" si="8"/>
        <v>91</v>
      </c>
      <c r="I35" s="258">
        <f t="shared" si="8"/>
        <v>908</v>
      </c>
      <c r="J35" s="258">
        <f t="shared" si="8"/>
        <v>505</v>
      </c>
      <c r="K35" s="258">
        <f t="shared" si="8"/>
        <v>563</v>
      </c>
      <c r="L35" s="258">
        <f t="shared" si="5"/>
        <v>2727</v>
      </c>
    </row>
    <row r="36" spans="1:12" ht="15">
      <c r="A36" s="506"/>
      <c r="B36" s="258" t="s">
        <v>7</v>
      </c>
      <c r="C36" s="258">
        <f>C30+C33</f>
        <v>79</v>
      </c>
      <c r="D36" s="258">
        <f t="shared" si="8"/>
        <v>23</v>
      </c>
      <c r="E36" s="258">
        <f t="shared" si="8"/>
        <v>34</v>
      </c>
      <c r="F36" s="258">
        <f t="shared" si="8"/>
        <v>68</v>
      </c>
      <c r="G36" s="258">
        <f t="shared" si="8"/>
        <v>136</v>
      </c>
      <c r="H36" s="258">
        <f t="shared" si="8"/>
        <v>129</v>
      </c>
      <c r="I36" s="258">
        <f t="shared" si="8"/>
        <v>286</v>
      </c>
      <c r="J36" s="258">
        <f t="shared" si="8"/>
        <v>314</v>
      </c>
      <c r="K36" s="258">
        <f t="shared" si="8"/>
        <v>138</v>
      </c>
      <c r="L36" s="258">
        <f t="shared" si="5"/>
        <v>1207</v>
      </c>
    </row>
    <row r="37" spans="1:12" ht="15">
      <c r="A37" s="507"/>
      <c r="B37" s="258" t="s">
        <v>162</v>
      </c>
      <c r="C37" s="260">
        <f t="shared" ref="C37:K37" si="9">SUM(C35:C36)</f>
        <v>182</v>
      </c>
      <c r="D37" s="260">
        <f t="shared" si="9"/>
        <v>107</v>
      </c>
      <c r="E37" s="260">
        <f t="shared" si="9"/>
        <v>166</v>
      </c>
      <c r="F37" s="260">
        <f t="shared" si="9"/>
        <v>172</v>
      </c>
      <c r="G37" s="260">
        <f t="shared" si="9"/>
        <v>373</v>
      </c>
      <c r="H37" s="260">
        <f t="shared" si="9"/>
        <v>220</v>
      </c>
      <c r="I37" s="260">
        <f t="shared" si="9"/>
        <v>1194</v>
      </c>
      <c r="J37" s="260">
        <f t="shared" si="9"/>
        <v>819</v>
      </c>
      <c r="K37" s="260">
        <f t="shared" si="9"/>
        <v>701</v>
      </c>
      <c r="L37" s="261">
        <f t="shared" si="5"/>
        <v>3934</v>
      </c>
    </row>
    <row r="38" spans="1:12" ht="15">
      <c r="A38" s="160" t="s">
        <v>165</v>
      </c>
    </row>
  </sheetData>
  <sheetProtection selectLockedCells="1" selectUnlockedCells="1"/>
  <mergeCells count="12">
    <mergeCell ref="A29:A31"/>
    <mergeCell ref="A32:A34"/>
    <mergeCell ref="A35:A37"/>
    <mergeCell ref="A27:L27"/>
    <mergeCell ref="A3:A5"/>
    <mergeCell ref="A6:A8"/>
    <mergeCell ref="A1:L1"/>
    <mergeCell ref="A14:L14"/>
    <mergeCell ref="A16:A18"/>
    <mergeCell ref="A19:A21"/>
    <mergeCell ref="A22:A24"/>
    <mergeCell ref="A9:A11"/>
  </mergeCells>
  <pageMargins left="0.56000000000000005" right="0.196850393700787" top="0.55118110236220497" bottom="0.39370078740157499" header="0.511811023622047" footer="0.23622047244094499"/>
  <pageSetup paperSize="9" scale="71" firstPageNumber="49" orientation="portrait" useFirstPageNumber="1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1"/>
  <sheetViews>
    <sheetView workbookViewId="0">
      <selection activeCell="K10" sqref="K10"/>
    </sheetView>
  </sheetViews>
  <sheetFormatPr defaultRowHeight="15"/>
  <cols>
    <col min="1" max="1" width="7.28515625" style="269" customWidth="1"/>
    <col min="2" max="2" width="24.7109375" style="269" customWidth="1"/>
    <col min="3" max="3" width="16.42578125" style="269" customWidth="1"/>
    <col min="4" max="4" width="21.140625" style="269" customWidth="1"/>
    <col min="5" max="5" width="14.28515625" style="269" customWidth="1"/>
    <col min="6" max="6" width="13.42578125" style="262" hidden="1" customWidth="1"/>
    <col min="7" max="9" width="14.7109375" style="269" customWidth="1"/>
    <col min="10" max="16384" width="9.140625" style="262"/>
  </cols>
  <sheetData>
    <row r="1" spans="1:9" ht="15.95" customHeight="1">
      <c r="A1" s="508" t="s">
        <v>543</v>
      </c>
      <c r="B1" s="508"/>
      <c r="C1" s="508"/>
      <c r="D1" s="508"/>
      <c r="E1" s="508"/>
      <c r="F1" s="508"/>
      <c r="G1" s="508"/>
      <c r="H1" s="508"/>
      <c r="I1" s="508"/>
    </row>
    <row r="2" spans="1:9">
      <c r="A2" s="513" t="s">
        <v>280</v>
      </c>
      <c r="B2" s="513" t="s">
        <v>553</v>
      </c>
      <c r="C2" s="513" t="s">
        <v>371</v>
      </c>
      <c r="D2" s="513" t="s">
        <v>372</v>
      </c>
      <c r="E2" s="515" t="s">
        <v>557</v>
      </c>
      <c r="F2" s="516"/>
      <c r="G2" s="509" t="s">
        <v>246</v>
      </c>
      <c r="H2" s="510"/>
      <c r="I2" s="519" t="s">
        <v>558</v>
      </c>
    </row>
    <row r="3" spans="1:9" ht="21" customHeight="1">
      <c r="A3" s="514"/>
      <c r="B3" s="514"/>
      <c r="C3" s="514"/>
      <c r="D3" s="514"/>
      <c r="E3" s="517"/>
      <c r="F3" s="518"/>
      <c r="G3" s="263" t="s">
        <v>84</v>
      </c>
      <c r="H3" s="263" t="s">
        <v>85</v>
      </c>
      <c r="I3" s="520"/>
    </row>
    <row r="4" spans="1:9" ht="24" customHeight="1">
      <c r="A4" s="263" t="s">
        <v>554</v>
      </c>
      <c r="B4" s="521" t="s">
        <v>373</v>
      </c>
      <c r="C4" s="522"/>
      <c r="D4" s="522"/>
      <c r="E4" s="522"/>
      <c r="F4" s="522"/>
      <c r="G4" s="522"/>
      <c r="H4" s="522"/>
      <c r="I4" s="523"/>
    </row>
    <row r="5" spans="1:9" ht="21" customHeight="1">
      <c r="A5" s="524">
        <v>1</v>
      </c>
      <c r="B5" s="329" t="s">
        <v>374</v>
      </c>
      <c r="C5" s="307" t="s">
        <v>375</v>
      </c>
      <c r="D5" s="265">
        <v>42</v>
      </c>
      <c r="E5" s="511">
        <v>3227</v>
      </c>
      <c r="F5" s="512"/>
      <c r="G5" s="265">
        <v>2599</v>
      </c>
      <c r="H5" s="265">
        <v>628</v>
      </c>
      <c r="I5" s="265">
        <v>3227</v>
      </c>
    </row>
    <row r="6" spans="1:9" ht="15.75" customHeight="1">
      <c r="A6" s="525"/>
      <c r="B6" s="329" t="s">
        <v>19</v>
      </c>
      <c r="C6" s="263">
        <v>1</v>
      </c>
      <c r="D6" s="263">
        <v>42</v>
      </c>
      <c r="E6" s="312">
        <v>3227</v>
      </c>
      <c r="F6" s="313"/>
      <c r="G6" s="263">
        <v>2599</v>
      </c>
      <c r="H6" s="263">
        <v>628</v>
      </c>
      <c r="I6" s="263">
        <v>3227</v>
      </c>
    </row>
    <row r="7" spans="1:9" ht="20.25" customHeight="1">
      <c r="A7" s="268" t="s">
        <v>554</v>
      </c>
      <c r="B7" s="521" t="s">
        <v>376</v>
      </c>
      <c r="C7" s="522"/>
      <c r="D7" s="522"/>
      <c r="E7" s="522"/>
      <c r="F7" s="522"/>
      <c r="G7" s="522"/>
      <c r="H7" s="522"/>
      <c r="I7" s="523"/>
    </row>
    <row r="8" spans="1:9" ht="16.5" customHeight="1">
      <c r="A8" s="524">
        <v>1</v>
      </c>
      <c r="B8" s="513" t="s">
        <v>377</v>
      </c>
      <c r="C8" s="307" t="s">
        <v>378</v>
      </c>
      <c r="D8" s="265">
        <v>15</v>
      </c>
      <c r="E8" s="266">
        <v>4667</v>
      </c>
      <c r="F8" s="267">
        <f>SUM(E8)</f>
        <v>4667</v>
      </c>
      <c r="G8" s="265">
        <v>3732</v>
      </c>
      <c r="H8" s="265">
        <v>935</v>
      </c>
      <c r="I8" s="265">
        <v>4667</v>
      </c>
    </row>
    <row r="9" spans="1:9" ht="18" customHeight="1">
      <c r="A9" s="526"/>
      <c r="B9" s="527"/>
      <c r="C9" s="307" t="s">
        <v>30</v>
      </c>
      <c r="D9" s="265">
        <v>3</v>
      </c>
      <c r="E9" s="266">
        <v>1317</v>
      </c>
      <c r="F9" s="267">
        <f>SUM(E9)</f>
        <v>1317</v>
      </c>
      <c r="G9" s="265">
        <v>916</v>
      </c>
      <c r="H9" s="265">
        <v>401</v>
      </c>
      <c r="I9" s="265">
        <v>1317</v>
      </c>
    </row>
    <row r="10" spans="1:9" ht="16.5" customHeight="1">
      <c r="A10" s="526"/>
      <c r="B10" s="527"/>
      <c r="C10" s="307" t="s">
        <v>379</v>
      </c>
      <c r="D10" s="265">
        <v>13</v>
      </c>
      <c r="E10" s="266">
        <v>1479</v>
      </c>
      <c r="F10" s="267">
        <f>SUM(E10)</f>
        <v>1479</v>
      </c>
      <c r="G10" s="265">
        <v>1144</v>
      </c>
      <c r="H10" s="265">
        <v>335</v>
      </c>
      <c r="I10" s="265">
        <v>1479</v>
      </c>
    </row>
    <row r="11" spans="1:9" ht="18.75" customHeight="1">
      <c r="A11" s="525"/>
      <c r="B11" s="514"/>
      <c r="C11" s="307" t="s">
        <v>380</v>
      </c>
      <c r="D11" s="265">
        <v>19</v>
      </c>
      <c r="E11" s="266">
        <v>4059</v>
      </c>
      <c r="F11" s="267">
        <f>SUM(E11)</f>
        <v>4059</v>
      </c>
      <c r="G11" s="265">
        <v>3262</v>
      </c>
      <c r="H11" s="265">
        <v>797</v>
      </c>
      <c r="I11" s="265">
        <v>4059</v>
      </c>
    </row>
    <row r="12" spans="1:9" ht="18" customHeight="1">
      <c r="A12" s="524">
        <v>2</v>
      </c>
      <c r="B12" s="329" t="s">
        <v>381</v>
      </c>
      <c r="C12" s="307" t="s">
        <v>382</v>
      </c>
      <c r="D12" s="265">
        <v>10</v>
      </c>
      <c r="E12" s="266">
        <v>1473</v>
      </c>
      <c r="F12" s="267">
        <f>SUM(E12)</f>
        <v>1473</v>
      </c>
      <c r="G12" s="265">
        <v>1217</v>
      </c>
      <c r="H12" s="265">
        <v>256</v>
      </c>
      <c r="I12" s="265">
        <v>1473</v>
      </c>
    </row>
    <row r="13" spans="1:9" ht="23.25" customHeight="1">
      <c r="A13" s="525"/>
      <c r="B13" s="329" t="s">
        <v>19</v>
      </c>
      <c r="C13" s="329">
        <v>5</v>
      </c>
      <c r="D13" s="329">
        <f>SUM(D8:D12)</f>
        <v>60</v>
      </c>
      <c r="E13" s="327">
        <f>SUM(E8:E12)</f>
        <v>12995</v>
      </c>
      <c r="F13" s="328"/>
      <c r="G13" s="329">
        <f>SUM(G8:G12)</f>
        <v>10271</v>
      </c>
      <c r="H13" s="329">
        <f>SUM(H8:H12)</f>
        <v>2724</v>
      </c>
      <c r="I13" s="329">
        <f>SUM(I8:I12)</f>
        <v>12995</v>
      </c>
    </row>
    <row r="14" spans="1:9" ht="15" customHeight="1">
      <c r="A14" s="268" t="s">
        <v>554</v>
      </c>
      <c r="B14" s="521" t="s">
        <v>383</v>
      </c>
      <c r="C14" s="522"/>
      <c r="D14" s="522"/>
      <c r="E14" s="522"/>
      <c r="F14" s="522"/>
      <c r="G14" s="522"/>
      <c r="H14" s="522"/>
      <c r="I14" s="523"/>
    </row>
    <row r="15" spans="1:9">
      <c r="A15" s="524">
        <v>3</v>
      </c>
      <c r="B15" s="528" t="s">
        <v>384</v>
      </c>
      <c r="C15" s="268" t="s">
        <v>385</v>
      </c>
      <c r="D15" s="265">
        <v>9</v>
      </c>
      <c r="E15" s="265">
        <v>1908</v>
      </c>
      <c r="F15" s="264">
        <f t="shared" ref="F15:F23" si="0">SUM(E15)</f>
        <v>1908</v>
      </c>
      <c r="G15" s="265">
        <v>1295</v>
      </c>
      <c r="H15" s="265">
        <v>613</v>
      </c>
      <c r="I15" s="265">
        <v>1908</v>
      </c>
    </row>
    <row r="16" spans="1:9">
      <c r="A16" s="526"/>
      <c r="B16" s="529"/>
      <c r="C16" s="268" t="s">
        <v>386</v>
      </c>
      <c r="D16" s="265">
        <v>8</v>
      </c>
      <c r="E16" s="265">
        <v>1630</v>
      </c>
      <c r="F16" s="264">
        <f t="shared" si="0"/>
        <v>1630</v>
      </c>
      <c r="G16" s="265">
        <v>1140</v>
      </c>
      <c r="H16" s="265">
        <v>490</v>
      </c>
      <c r="I16" s="265">
        <v>1630</v>
      </c>
    </row>
    <row r="17" spans="1:9">
      <c r="A17" s="526"/>
      <c r="B17" s="529"/>
      <c r="C17" s="268" t="s">
        <v>387</v>
      </c>
      <c r="D17" s="265">
        <v>10</v>
      </c>
      <c r="E17" s="265">
        <v>1806</v>
      </c>
      <c r="F17" s="264">
        <f t="shared" si="0"/>
        <v>1806</v>
      </c>
      <c r="G17" s="265">
        <v>1287</v>
      </c>
      <c r="H17" s="265">
        <v>519</v>
      </c>
      <c r="I17" s="265">
        <v>1806</v>
      </c>
    </row>
    <row r="18" spans="1:9">
      <c r="A18" s="525"/>
      <c r="B18" s="530"/>
      <c r="C18" s="268" t="s">
        <v>388</v>
      </c>
      <c r="D18" s="265">
        <v>9</v>
      </c>
      <c r="E18" s="265">
        <v>2480</v>
      </c>
      <c r="F18" s="264">
        <f t="shared" si="0"/>
        <v>2480</v>
      </c>
      <c r="G18" s="265">
        <v>1649</v>
      </c>
      <c r="H18" s="265">
        <v>831</v>
      </c>
      <c r="I18" s="265">
        <v>2480</v>
      </c>
    </row>
    <row r="19" spans="1:9">
      <c r="A19" s="524">
        <v>4</v>
      </c>
      <c r="B19" s="528" t="s">
        <v>389</v>
      </c>
      <c r="C19" s="268" t="s">
        <v>390</v>
      </c>
      <c r="D19" s="265">
        <v>16</v>
      </c>
      <c r="E19" s="265">
        <v>1370</v>
      </c>
      <c r="F19" s="264">
        <f t="shared" si="0"/>
        <v>1370</v>
      </c>
      <c r="G19" s="265">
        <v>1087</v>
      </c>
      <c r="H19" s="265">
        <v>283</v>
      </c>
      <c r="I19" s="265">
        <v>1370</v>
      </c>
    </row>
    <row r="20" spans="1:9">
      <c r="A20" s="526"/>
      <c r="B20" s="529"/>
      <c r="C20" s="268" t="s">
        <v>391</v>
      </c>
      <c r="D20" s="265">
        <v>18</v>
      </c>
      <c r="E20" s="265">
        <v>1879</v>
      </c>
      <c r="F20" s="264">
        <f t="shared" si="0"/>
        <v>1879</v>
      </c>
      <c r="G20" s="265">
        <v>1568</v>
      </c>
      <c r="H20" s="265">
        <v>311</v>
      </c>
      <c r="I20" s="265">
        <v>1879</v>
      </c>
    </row>
    <row r="21" spans="1:9">
      <c r="A21" s="526"/>
      <c r="B21" s="529"/>
      <c r="C21" s="268" t="s">
        <v>392</v>
      </c>
      <c r="D21" s="265">
        <v>11</v>
      </c>
      <c r="E21" s="265">
        <v>881</v>
      </c>
      <c r="F21" s="264">
        <f t="shared" si="0"/>
        <v>881</v>
      </c>
      <c r="G21" s="265">
        <v>763</v>
      </c>
      <c r="H21" s="265">
        <v>118</v>
      </c>
      <c r="I21" s="265">
        <v>881</v>
      </c>
    </row>
    <row r="22" spans="1:9">
      <c r="A22" s="525"/>
      <c r="B22" s="530"/>
      <c r="C22" s="268" t="s">
        <v>393</v>
      </c>
      <c r="D22" s="265">
        <v>11</v>
      </c>
      <c r="E22" s="265">
        <v>1877</v>
      </c>
      <c r="F22" s="264">
        <f t="shared" si="0"/>
        <v>1877</v>
      </c>
      <c r="G22" s="265">
        <v>1505</v>
      </c>
      <c r="H22" s="265">
        <v>372</v>
      </c>
      <c r="I22" s="265">
        <v>1877</v>
      </c>
    </row>
    <row r="23" spans="1:9">
      <c r="A23" s="524">
        <v>5</v>
      </c>
      <c r="B23" s="330" t="s">
        <v>524</v>
      </c>
      <c r="C23" s="268" t="s">
        <v>248</v>
      </c>
      <c r="D23" s="265">
        <v>16</v>
      </c>
      <c r="E23" s="265">
        <v>2779</v>
      </c>
      <c r="F23" s="264">
        <f t="shared" si="0"/>
        <v>2779</v>
      </c>
      <c r="G23" s="265">
        <v>2102</v>
      </c>
      <c r="H23" s="265">
        <v>677</v>
      </c>
      <c r="I23" s="265">
        <v>2779</v>
      </c>
    </row>
    <row r="24" spans="1:9">
      <c r="A24" s="525"/>
      <c r="B24" s="331" t="s">
        <v>19</v>
      </c>
      <c r="C24" s="263">
        <v>9</v>
      </c>
      <c r="D24" s="263">
        <f>SUM(D15:D23)</f>
        <v>108</v>
      </c>
      <c r="E24" s="263">
        <f>SUM(E15:E23)</f>
        <v>16610</v>
      </c>
      <c r="F24" s="334"/>
      <c r="G24" s="263">
        <f>SUM(G15:G23)</f>
        <v>12396</v>
      </c>
      <c r="H24" s="263">
        <f>SUM(H15:H23)</f>
        <v>4214</v>
      </c>
      <c r="I24" s="263">
        <f>SUM(I15:I23)</f>
        <v>16610</v>
      </c>
    </row>
    <row r="25" spans="1:9">
      <c r="A25" s="268" t="s">
        <v>554</v>
      </c>
      <c r="B25" s="521" t="s">
        <v>394</v>
      </c>
      <c r="C25" s="522"/>
      <c r="D25" s="522"/>
      <c r="E25" s="522"/>
      <c r="F25" s="522"/>
      <c r="G25" s="522"/>
      <c r="H25" s="522"/>
      <c r="I25" s="523"/>
    </row>
    <row r="26" spans="1:9">
      <c r="A26" s="524">
        <v>6</v>
      </c>
      <c r="B26" s="528" t="s">
        <v>395</v>
      </c>
      <c r="C26" s="268" t="s">
        <v>21</v>
      </c>
      <c r="D26" s="265">
        <v>21</v>
      </c>
      <c r="E26" s="265">
        <v>5421</v>
      </c>
      <c r="F26" s="264">
        <f t="shared" ref="F26:F33" si="1">SUM(E26)</f>
        <v>5421</v>
      </c>
      <c r="G26" s="265">
        <v>4356</v>
      </c>
      <c r="H26" s="265">
        <v>1065</v>
      </c>
      <c r="I26" s="265">
        <v>5421</v>
      </c>
    </row>
    <row r="27" spans="1:9">
      <c r="A27" s="525"/>
      <c r="B27" s="530"/>
      <c r="C27" s="268" t="s">
        <v>396</v>
      </c>
      <c r="D27" s="265">
        <v>16</v>
      </c>
      <c r="E27" s="265">
        <v>5116</v>
      </c>
      <c r="F27" s="264">
        <f t="shared" si="1"/>
        <v>5116</v>
      </c>
      <c r="G27" s="265">
        <v>4072</v>
      </c>
      <c r="H27" s="265">
        <v>1044</v>
      </c>
      <c r="I27" s="265">
        <v>5116</v>
      </c>
    </row>
    <row r="28" spans="1:9">
      <c r="A28" s="524">
        <v>7</v>
      </c>
      <c r="B28" s="528" t="s">
        <v>397</v>
      </c>
      <c r="C28" s="268" t="s">
        <v>253</v>
      </c>
      <c r="D28" s="265">
        <v>14</v>
      </c>
      <c r="E28" s="265">
        <v>2441</v>
      </c>
      <c r="F28" s="264">
        <f t="shared" si="1"/>
        <v>2441</v>
      </c>
      <c r="G28" s="265">
        <v>2069</v>
      </c>
      <c r="H28" s="265">
        <v>372</v>
      </c>
      <c r="I28" s="265">
        <v>2441</v>
      </c>
    </row>
    <row r="29" spans="1:9">
      <c r="A29" s="526"/>
      <c r="B29" s="529"/>
      <c r="C29" s="268" t="s">
        <v>398</v>
      </c>
      <c r="D29" s="265">
        <v>11</v>
      </c>
      <c r="E29" s="265">
        <v>2330</v>
      </c>
      <c r="F29" s="264">
        <f t="shared" si="1"/>
        <v>2330</v>
      </c>
      <c r="G29" s="265">
        <v>2009</v>
      </c>
      <c r="H29" s="265">
        <v>321</v>
      </c>
      <c r="I29" s="265">
        <v>2330</v>
      </c>
    </row>
    <row r="30" spans="1:9">
      <c r="A30" s="525"/>
      <c r="B30" s="530"/>
      <c r="C30" s="268" t="s">
        <v>399</v>
      </c>
      <c r="D30" s="265">
        <v>15</v>
      </c>
      <c r="E30" s="265">
        <v>2805</v>
      </c>
      <c r="F30" s="264">
        <f t="shared" si="1"/>
        <v>2805</v>
      </c>
      <c r="G30" s="265">
        <v>2531</v>
      </c>
      <c r="H30" s="265">
        <v>274</v>
      </c>
      <c r="I30" s="265">
        <v>2805</v>
      </c>
    </row>
    <row r="31" spans="1:9">
      <c r="A31" s="265">
        <v>8</v>
      </c>
      <c r="B31" s="268" t="s">
        <v>400</v>
      </c>
      <c r="C31" s="268" t="s">
        <v>252</v>
      </c>
      <c r="D31" s="265">
        <v>26</v>
      </c>
      <c r="E31" s="265">
        <v>3580</v>
      </c>
      <c r="F31" s="264">
        <f t="shared" si="1"/>
        <v>3580</v>
      </c>
      <c r="G31" s="265">
        <v>3041</v>
      </c>
      <c r="H31" s="265">
        <v>539</v>
      </c>
      <c r="I31" s="265">
        <v>3580</v>
      </c>
    </row>
    <row r="32" spans="1:9">
      <c r="A32" s="265">
        <v>9</v>
      </c>
      <c r="B32" s="268" t="s">
        <v>401</v>
      </c>
      <c r="C32" s="268" t="s">
        <v>251</v>
      </c>
      <c r="D32" s="265">
        <v>19</v>
      </c>
      <c r="E32" s="265">
        <v>3633</v>
      </c>
      <c r="F32" s="264">
        <f t="shared" si="1"/>
        <v>3633</v>
      </c>
      <c r="G32" s="265">
        <v>2992</v>
      </c>
      <c r="H32" s="265">
        <v>641</v>
      </c>
      <c r="I32" s="265">
        <v>3633</v>
      </c>
    </row>
    <row r="33" spans="1:9">
      <c r="A33" s="524">
        <v>10</v>
      </c>
      <c r="B33" s="326" t="s">
        <v>402</v>
      </c>
      <c r="C33" s="268" t="s">
        <v>403</v>
      </c>
      <c r="D33" s="265">
        <v>17</v>
      </c>
      <c r="E33" s="265">
        <v>2944</v>
      </c>
      <c r="F33" s="264">
        <f t="shared" si="1"/>
        <v>2944</v>
      </c>
      <c r="G33" s="265">
        <v>2238</v>
      </c>
      <c r="H33" s="265">
        <v>706</v>
      </c>
      <c r="I33" s="265">
        <v>2944</v>
      </c>
    </row>
    <row r="34" spans="1:9">
      <c r="A34" s="525"/>
      <c r="B34" s="331" t="s">
        <v>19</v>
      </c>
      <c r="C34" s="263">
        <v>8</v>
      </c>
      <c r="D34" s="263">
        <f>SUM(D26:D33)</f>
        <v>139</v>
      </c>
      <c r="E34" s="263">
        <f>SUM(E26:E33)</f>
        <v>28270</v>
      </c>
      <c r="F34" s="334"/>
      <c r="G34" s="263">
        <f>SUM(G26:G33)</f>
        <v>23308</v>
      </c>
      <c r="H34" s="263">
        <f>SUM(H26:H33)</f>
        <v>4962</v>
      </c>
      <c r="I34" s="263">
        <f>SUM(I26:I33)</f>
        <v>28270</v>
      </c>
    </row>
    <row r="35" spans="1:9">
      <c r="A35" s="268" t="s">
        <v>554</v>
      </c>
      <c r="B35" s="521" t="s">
        <v>404</v>
      </c>
      <c r="C35" s="522"/>
      <c r="D35" s="522"/>
      <c r="E35" s="522"/>
      <c r="F35" s="522"/>
      <c r="G35" s="522"/>
      <c r="H35" s="522"/>
      <c r="I35" s="523"/>
    </row>
    <row r="36" spans="1:9">
      <c r="A36" s="265">
        <v>11</v>
      </c>
      <c r="B36" s="268" t="s">
        <v>405</v>
      </c>
      <c r="C36" s="268" t="s">
        <v>26</v>
      </c>
      <c r="D36" s="265">
        <v>23</v>
      </c>
      <c r="E36" s="265">
        <v>4783</v>
      </c>
      <c r="F36" s="264">
        <f t="shared" ref="F36:F43" si="2">SUM(E36)</f>
        <v>4783</v>
      </c>
      <c r="G36" s="265">
        <v>4213</v>
      </c>
      <c r="H36" s="265">
        <v>570</v>
      </c>
      <c r="I36" s="265">
        <v>4783</v>
      </c>
    </row>
    <row r="37" spans="1:9">
      <c r="A37" s="524">
        <v>12</v>
      </c>
      <c r="B37" s="528" t="s">
        <v>406</v>
      </c>
      <c r="C37" s="268" t="s">
        <v>407</v>
      </c>
      <c r="D37" s="265">
        <v>3</v>
      </c>
      <c r="E37" s="265">
        <v>3010</v>
      </c>
      <c r="F37" s="264">
        <f t="shared" si="2"/>
        <v>3010</v>
      </c>
      <c r="G37" s="265">
        <v>2299</v>
      </c>
      <c r="H37" s="265">
        <v>711</v>
      </c>
      <c r="I37" s="265">
        <v>3010</v>
      </c>
    </row>
    <row r="38" spans="1:9">
      <c r="A38" s="526"/>
      <c r="B38" s="529"/>
      <c r="C38" s="268" t="s">
        <v>408</v>
      </c>
      <c r="D38" s="265">
        <v>11</v>
      </c>
      <c r="E38" s="265">
        <v>2621</v>
      </c>
      <c r="F38" s="264">
        <f t="shared" si="2"/>
        <v>2621</v>
      </c>
      <c r="G38" s="265">
        <v>1855</v>
      </c>
      <c r="H38" s="265">
        <v>766</v>
      </c>
      <c r="I38" s="265">
        <v>2621</v>
      </c>
    </row>
    <row r="39" spans="1:9">
      <c r="A39" s="525"/>
      <c r="B39" s="530"/>
      <c r="C39" s="268" t="s">
        <v>409</v>
      </c>
      <c r="D39" s="265">
        <v>15</v>
      </c>
      <c r="E39" s="265">
        <v>3913</v>
      </c>
      <c r="F39" s="264">
        <f t="shared" si="2"/>
        <v>3913</v>
      </c>
      <c r="G39" s="265">
        <v>2920</v>
      </c>
      <c r="H39" s="265">
        <v>993</v>
      </c>
      <c r="I39" s="265">
        <v>3913</v>
      </c>
    </row>
    <row r="40" spans="1:9">
      <c r="A40" s="524">
        <v>13</v>
      </c>
      <c r="B40" s="528" t="s">
        <v>410</v>
      </c>
      <c r="C40" s="268" t="s">
        <v>411</v>
      </c>
      <c r="D40" s="265">
        <v>9</v>
      </c>
      <c r="E40" s="265">
        <v>2060</v>
      </c>
      <c r="F40" s="264">
        <f t="shared" si="2"/>
        <v>2060</v>
      </c>
      <c r="G40" s="265">
        <v>1715</v>
      </c>
      <c r="H40" s="265">
        <v>345</v>
      </c>
      <c r="I40" s="265">
        <v>2060</v>
      </c>
    </row>
    <row r="41" spans="1:9">
      <c r="A41" s="525"/>
      <c r="B41" s="530"/>
      <c r="C41" s="268" t="s">
        <v>412</v>
      </c>
      <c r="D41" s="265">
        <v>17</v>
      </c>
      <c r="E41" s="265">
        <v>3970</v>
      </c>
      <c r="F41" s="264">
        <f t="shared" si="2"/>
        <v>3970</v>
      </c>
      <c r="G41" s="265">
        <v>3325</v>
      </c>
      <c r="H41" s="265">
        <v>645</v>
      </c>
      <c r="I41" s="265">
        <v>3970</v>
      </c>
    </row>
    <row r="42" spans="1:9">
      <c r="A42" s="524">
        <v>14</v>
      </c>
      <c r="B42" s="528" t="s">
        <v>413</v>
      </c>
      <c r="C42" s="268" t="s">
        <v>247</v>
      </c>
      <c r="D42" s="265">
        <v>12</v>
      </c>
      <c r="E42" s="265">
        <v>2038</v>
      </c>
      <c r="F42" s="264">
        <f t="shared" si="2"/>
        <v>2038</v>
      </c>
      <c r="G42" s="265">
        <v>1717</v>
      </c>
      <c r="H42" s="265">
        <v>321</v>
      </c>
      <c r="I42" s="265">
        <v>2038</v>
      </c>
    </row>
    <row r="43" spans="1:9">
      <c r="A43" s="526"/>
      <c r="B43" s="529"/>
      <c r="C43" s="268" t="s">
        <v>414</v>
      </c>
      <c r="D43" s="265">
        <v>21</v>
      </c>
      <c r="E43" s="265">
        <v>1639</v>
      </c>
      <c r="F43" s="264">
        <f t="shared" si="2"/>
        <v>1639</v>
      </c>
      <c r="G43" s="265">
        <v>1462</v>
      </c>
      <c r="H43" s="265">
        <v>177</v>
      </c>
      <c r="I43" s="265">
        <v>1639</v>
      </c>
    </row>
    <row r="44" spans="1:9">
      <c r="A44" s="525"/>
      <c r="B44" s="331" t="s">
        <v>19</v>
      </c>
      <c r="C44" s="308">
        <v>8</v>
      </c>
      <c r="D44" s="263">
        <f>SUM(D36:D43)</f>
        <v>111</v>
      </c>
      <c r="E44" s="263">
        <f>SUM(E36:E43)</f>
        <v>24034</v>
      </c>
      <c r="F44" s="334"/>
      <c r="G44" s="263">
        <f>SUM(G36:G43)</f>
        <v>19506</v>
      </c>
      <c r="H44" s="263">
        <f>SUM(H36:H43)</f>
        <v>4528</v>
      </c>
      <c r="I44" s="263">
        <f>SUM(I36:I43)</f>
        <v>24034</v>
      </c>
    </row>
    <row r="45" spans="1:9">
      <c r="A45" s="268" t="s">
        <v>554</v>
      </c>
      <c r="B45" s="521" t="s">
        <v>415</v>
      </c>
      <c r="C45" s="522"/>
      <c r="D45" s="522"/>
      <c r="E45" s="522"/>
      <c r="F45" s="522"/>
      <c r="G45" s="522"/>
      <c r="H45" s="522"/>
      <c r="I45" s="523"/>
    </row>
    <row r="46" spans="1:9">
      <c r="A46" s="524">
        <v>15</v>
      </c>
      <c r="B46" s="528" t="s">
        <v>416</v>
      </c>
      <c r="C46" s="268" t="s">
        <v>417</v>
      </c>
      <c r="D46" s="265">
        <v>18</v>
      </c>
      <c r="E46" s="265">
        <v>3281</v>
      </c>
      <c r="F46" s="264">
        <f>SUM(E46)</f>
        <v>3281</v>
      </c>
      <c r="G46" s="265">
        <v>2305</v>
      </c>
      <c r="H46" s="265">
        <v>976</v>
      </c>
      <c r="I46" s="265">
        <v>3281</v>
      </c>
    </row>
    <row r="47" spans="1:9">
      <c r="A47" s="525"/>
      <c r="B47" s="530"/>
      <c r="C47" s="268" t="s">
        <v>418</v>
      </c>
      <c r="D47" s="265">
        <v>25</v>
      </c>
      <c r="E47" s="265">
        <v>4819</v>
      </c>
      <c r="F47" s="264">
        <f>SUM(E47)</f>
        <v>4819</v>
      </c>
      <c r="G47" s="265">
        <v>4178</v>
      </c>
      <c r="H47" s="265">
        <v>641</v>
      </c>
      <c r="I47" s="265">
        <v>4819</v>
      </c>
    </row>
    <row r="48" spans="1:9">
      <c r="A48" s="524">
        <v>16</v>
      </c>
      <c r="B48" s="528" t="s">
        <v>419</v>
      </c>
      <c r="C48" s="268" t="s">
        <v>420</v>
      </c>
      <c r="D48" s="265">
        <v>16</v>
      </c>
      <c r="E48" s="265">
        <v>1722</v>
      </c>
      <c r="F48" s="264">
        <f>SUM(E48)</f>
        <v>1722</v>
      </c>
      <c r="G48" s="265">
        <v>1438</v>
      </c>
      <c r="H48" s="265">
        <v>284</v>
      </c>
      <c r="I48" s="265">
        <v>1722</v>
      </c>
    </row>
    <row r="49" spans="1:9">
      <c r="A49" s="526"/>
      <c r="B49" s="529"/>
      <c r="C49" s="268" t="s">
        <v>421</v>
      </c>
      <c r="D49" s="265">
        <v>16</v>
      </c>
      <c r="E49" s="265">
        <v>2676</v>
      </c>
      <c r="F49" s="264">
        <f>SUM(E49)</f>
        <v>2676</v>
      </c>
      <c r="G49" s="265">
        <v>2102</v>
      </c>
      <c r="H49" s="265">
        <v>574</v>
      </c>
      <c r="I49" s="265">
        <v>2676</v>
      </c>
    </row>
    <row r="50" spans="1:9">
      <c r="A50" s="525"/>
      <c r="B50" s="530"/>
      <c r="C50" s="263">
        <v>4</v>
      </c>
      <c r="D50" s="263">
        <f>SUM(D46:D49)</f>
        <v>75</v>
      </c>
      <c r="E50" s="263">
        <f>SUM(E46:E49)</f>
        <v>12498</v>
      </c>
      <c r="F50" s="334"/>
      <c r="G50" s="263">
        <f>SUM(G46:G49)</f>
        <v>10023</v>
      </c>
      <c r="H50" s="263">
        <f>SUM(H46:H49)</f>
        <v>2475</v>
      </c>
      <c r="I50" s="263">
        <f>SUM(I46:I49)</f>
        <v>12498</v>
      </c>
    </row>
    <row r="51" spans="1:9">
      <c r="A51" s="268" t="s">
        <v>554</v>
      </c>
      <c r="B51" s="521" t="s">
        <v>556</v>
      </c>
      <c r="C51" s="522"/>
      <c r="D51" s="522"/>
      <c r="E51" s="522"/>
      <c r="F51" s="522"/>
      <c r="G51" s="522"/>
      <c r="H51" s="522"/>
      <c r="I51" s="523"/>
    </row>
    <row r="52" spans="1:9">
      <c r="A52" s="524">
        <v>17</v>
      </c>
      <c r="B52" s="528" t="s">
        <v>422</v>
      </c>
      <c r="C52" s="268" t="s">
        <v>24</v>
      </c>
      <c r="D52" s="265">
        <v>19</v>
      </c>
      <c r="E52" s="265">
        <v>3292</v>
      </c>
      <c r="F52" s="264">
        <f t="shared" ref="F52:F58" si="3">SUM(E52)</f>
        <v>3292</v>
      </c>
      <c r="G52" s="265">
        <v>2565</v>
      </c>
      <c r="H52" s="265">
        <v>727</v>
      </c>
      <c r="I52" s="265">
        <v>3292</v>
      </c>
    </row>
    <row r="53" spans="1:9">
      <c r="A53" s="526"/>
      <c r="B53" s="529"/>
      <c r="C53" s="268" t="s">
        <v>423</v>
      </c>
      <c r="D53" s="265">
        <v>12</v>
      </c>
      <c r="E53" s="265">
        <v>1132</v>
      </c>
      <c r="F53" s="264">
        <f t="shared" si="3"/>
        <v>1132</v>
      </c>
      <c r="G53" s="265">
        <v>797</v>
      </c>
      <c r="H53" s="265">
        <v>335</v>
      </c>
      <c r="I53" s="265">
        <v>1132</v>
      </c>
    </row>
    <row r="54" spans="1:9">
      <c r="A54" s="526"/>
      <c r="B54" s="529"/>
      <c r="C54" s="268" t="s">
        <v>424</v>
      </c>
      <c r="D54" s="265">
        <v>10</v>
      </c>
      <c r="E54" s="265">
        <v>1433</v>
      </c>
      <c r="F54" s="264">
        <f t="shared" si="3"/>
        <v>1433</v>
      </c>
      <c r="G54" s="265">
        <v>1359</v>
      </c>
      <c r="H54" s="265">
        <v>74</v>
      </c>
      <c r="I54" s="265">
        <v>1433</v>
      </c>
    </row>
    <row r="55" spans="1:9">
      <c r="A55" s="525"/>
      <c r="B55" s="530"/>
      <c r="C55" s="268" t="s">
        <v>425</v>
      </c>
      <c r="D55" s="265">
        <v>18</v>
      </c>
      <c r="E55" s="265">
        <v>1835</v>
      </c>
      <c r="F55" s="264">
        <f t="shared" si="3"/>
        <v>1835</v>
      </c>
      <c r="G55" s="265">
        <v>1572</v>
      </c>
      <c r="H55" s="265">
        <v>263</v>
      </c>
      <c r="I55" s="265">
        <v>1835</v>
      </c>
    </row>
    <row r="56" spans="1:9">
      <c r="A56" s="524">
        <v>18</v>
      </c>
      <c r="B56" s="528" t="s">
        <v>426</v>
      </c>
      <c r="C56" s="268" t="s">
        <v>427</v>
      </c>
      <c r="D56" s="265">
        <v>31</v>
      </c>
      <c r="E56" s="265">
        <v>2136</v>
      </c>
      <c r="F56" s="264">
        <f t="shared" si="3"/>
        <v>2136</v>
      </c>
      <c r="G56" s="265">
        <v>1759</v>
      </c>
      <c r="H56" s="265">
        <v>377</v>
      </c>
      <c r="I56" s="265">
        <v>2136</v>
      </c>
    </row>
    <row r="57" spans="1:9">
      <c r="A57" s="526"/>
      <c r="B57" s="529"/>
      <c r="C57" s="268" t="s">
        <v>428</v>
      </c>
      <c r="D57" s="265">
        <v>26</v>
      </c>
      <c r="E57" s="265">
        <v>3122</v>
      </c>
      <c r="F57" s="264">
        <f t="shared" si="3"/>
        <v>3122</v>
      </c>
      <c r="G57" s="265">
        <v>2772</v>
      </c>
      <c r="H57" s="265">
        <v>350</v>
      </c>
      <c r="I57" s="265">
        <v>3122</v>
      </c>
    </row>
    <row r="58" spans="1:9">
      <c r="A58" s="526"/>
      <c r="B58" s="529"/>
      <c r="C58" s="268" t="s">
        <v>429</v>
      </c>
      <c r="D58" s="265">
        <v>24</v>
      </c>
      <c r="E58" s="265">
        <v>1733</v>
      </c>
      <c r="F58" s="264">
        <f t="shared" si="3"/>
        <v>1733</v>
      </c>
      <c r="G58" s="265">
        <v>1349</v>
      </c>
      <c r="H58" s="265">
        <v>384</v>
      </c>
      <c r="I58" s="265">
        <v>1733</v>
      </c>
    </row>
    <row r="59" spans="1:9">
      <c r="A59" s="525"/>
      <c r="B59" s="332" t="s">
        <v>19</v>
      </c>
      <c r="C59" s="263">
        <v>7</v>
      </c>
      <c r="D59" s="263">
        <f>SUM(D52:D58)</f>
        <v>140</v>
      </c>
      <c r="E59" s="263">
        <f>SUM(E52:E58)</f>
        <v>14683</v>
      </c>
      <c r="F59" s="334"/>
      <c r="G59" s="263">
        <f>SUM(G52:G58)</f>
        <v>12173</v>
      </c>
      <c r="H59" s="263">
        <f>SUM(H52:H58)</f>
        <v>2510</v>
      </c>
      <c r="I59" s="263">
        <f>SUM(I52:I58)</f>
        <v>14683</v>
      </c>
    </row>
    <row r="60" spans="1:9">
      <c r="A60" s="268" t="s">
        <v>554</v>
      </c>
      <c r="B60" s="521" t="s">
        <v>430</v>
      </c>
      <c r="C60" s="522"/>
      <c r="D60" s="522"/>
      <c r="E60" s="522"/>
      <c r="F60" s="522"/>
      <c r="G60" s="522"/>
      <c r="H60" s="522"/>
      <c r="I60" s="523"/>
    </row>
    <row r="61" spans="1:9">
      <c r="A61" s="524">
        <v>19</v>
      </c>
      <c r="B61" s="528" t="s">
        <v>431</v>
      </c>
      <c r="C61" s="268" t="s">
        <v>23</v>
      </c>
      <c r="D61" s="265">
        <v>18</v>
      </c>
      <c r="E61" s="265">
        <v>1593</v>
      </c>
      <c r="F61" s="264">
        <f t="shared" ref="F61:F68" si="4">SUM(E61)</f>
        <v>1593</v>
      </c>
      <c r="G61" s="265">
        <v>1247</v>
      </c>
      <c r="H61" s="265">
        <v>346</v>
      </c>
      <c r="I61" s="265">
        <v>1593</v>
      </c>
    </row>
    <row r="62" spans="1:9">
      <c r="A62" s="526"/>
      <c r="B62" s="529"/>
      <c r="C62" s="268" t="s">
        <v>432</v>
      </c>
      <c r="D62" s="265">
        <v>30</v>
      </c>
      <c r="E62" s="265">
        <v>2016</v>
      </c>
      <c r="F62" s="264">
        <f t="shared" si="4"/>
        <v>2016</v>
      </c>
      <c r="G62" s="265">
        <v>1616</v>
      </c>
      <c r="H62" s="265">
        <v>400</v>
      </c>
      <c r="I62" s="265">
        <v>2016</v>
      </c>
    </row>
    <row r="63" spans="1:9">
      <c r="A63" s="525"/>
      <c r="B63" s="530"/>
      <c r="C63" s="268" t="s">
        <v>433</v>
      </c>
      <c r="D63" s="265">
        <v>20</v>
      </c>
      <c r="E63" s="265">
        <v>1297</v>
      </c>
      <c r="F63" s="264">
        <f t="shared" si="4"/>
        <v>1297</v>
      </c>
      <c r="G63" s="265">
        <v>840</v>
      </c>
      <c r="H63" s="265">
        <v>457</v>
      </c>
      <c r="I63" s="265">
        <v>1297</v>
      </c>
    </row>
    <row r="64" spans="1:9">
      <c r="A64" s="265">
        <v>20</v>
      </c>
      <c r="B64" s="268" t="s">
        <v>434</v>
      </c>
      <c r="C64" s="268" t="s">
        <v>254</v>
      </c>
      <c r="D64" s="265">
        <v>18</v>
      </c>
      <c r="E64" s="265">
        <v>1348</v>
      </c>
      <c r="F64" s="264">
        <f t="shared" si="4"/>
        <v>1348</v>
      </c>
      <c r="G64" s="265">
        <v>968</v>
      </c>
      <c r="H64" s="265">
        <v>380</v>
      </c>
      <c r="I64" s="265">
        <v>1348</v>
      </c>
    </row>
    <row r="65" spans="1:9">
      <c r="A65" s="265">
        <v>21</v>
      </c>
      <c r="B65" s="268" t="s">
        <v>435</v>
      </c>
      <c r="C65" s="268" t="s">
        <v>436</v>
      </c>
      <c r="D65" s="265">
        <v>24</v>
      </c>
      <c r="E65" s="265">
        <v>3939</v>
      </c>
      <c r="F65" s="264">
        <f t="shared" si="4"/>
        <v>3939</v>
      </c>
      <c r="G65" s="265">
        <v>3314</v>
      </c>
      <c r="H65" s="265">
        <v>625</v>
      </c>
      <c r="I65" s="265">
        <v>3939</v>
      </c>
    </row>
    <row r="66" spans="1:9">
      <c r="A66" s="524">
        <v>22</v>
      </c>
      <c r="B66" s="528" t="s">
        <v>437</v>
      </c>
      <c r="C66" s="268" t="s">
        <v>255</v>
      </c>
      <c r="D66" s="265">
        <v>26</v>
      </c>
      <c r="E66" s="265">
        <v>3917</v>
      </c>
      <c r="F66" s="264">
        <f t="shared" si="4"/>
        <v>3917</v>
      </c>
      <c r="G66" s="265">
        <v>3113</v>
      </c>
      <c r="H66" s="265">
        <v>804</v>
      </c>
      <c r="I66" s="265">
        <v>3917</v>
      </c>
    </row>
    <row r="67" spans="1:9">
      <c r="A67" s="525"/>
      <c r="B67" s="530"/>
      <c r="C67" s="268" t="s">
        <v>438</v>
      </c>
      <c r="D67" s="265">
        <v>11</v>
      </c>
      <c r="E67" s="265">
        <v>1029</v>
      </c>
      <c r="F67" s="264">
        <f t="shared" si="4"/>
        <v>1029</v>
      </c>
      <c r="G67" s="265">
        <v>844</v>
      </c>
      <c r="H67" s="265">
        <v>185</v>
      </c>
      <c r="I67" s="265">
        <v>1029</v>
      </c>
    </row>
    <row r="68" spans="1:9">
      <c r="A68" s="524">
        <v>23</v>
      </c>
      <c r="B68" s="330" t="s">
        <v>439</v>
      </c>
      <c r="C68" s="268" t="s">
        <v>440</v>
      </c>
      <c r="D68" s="265">
        <v>33</v>
      </c>
      <c r="E68" s="265">
        <v>2996</v>
      </c>
      <c r="F68" s="264">
        <f t="shared" si="4"/>
        <v>2996</v>
      </c>
      <c r="G68" s="265">
        <v>2478</v>
      </c>
      <c r="H68" s="265">
        <v>518</v>
      </c>
      <c r="I68" s="265">
        <v>2996</v>
      </c>
    </row>
    <row r="69" spans="1:9">
      <c r="A69" s="525"/>
      <c r="B69" s="332" t="s">
        <v>19</v>
      </c>
      <c r="C69" s="263">
        <v>8</v>
      </c>
      <c r="D69" s="263">
        <f>SUM(D61:D68)</f>
        <v>180</v>
      </c>
      <c r="E69" s="263">
        <f>SUM(E61:E68)</f>
        <v>18135</v>
      </c>
      <c r="F69" s="334"/>
      <c r="G69" s="263">
        <f>SUM(G61:G68)</f>
        <v>14420</v>
      </c>
      <c r="H69" s="263">
        <f>SUM(H61:H68)</f>
        <v>3715</v>
      </c>
      <c r="I69" s="263">
        <f>SUM(I61:I68)</f>
        <v>18135</v>
      </c>
    </row>
    <row r="70" spans="1:9">
      <c r="A70" s="263" t="s">
        <v>554</v>
      </c>
      <c r="B70" s="521" t="s">
        <v>441</v>
      </c>
      <c r="C70" s="522"/>
      <c r="D70" s="522"/>
      <c r="E70" s="522"/>
      <c r="F70" s="522"/>
      <c r="G70" s="522"/>
      <c r="H70" s="522"/>
      <c r="I70" s="523"/>
    </row>
    <row r="71" spans="1:9">
      <c r="A71" s="265">
        <v>24</v>
      </c>
      <c r="B71" s="268" t="s">
        <v>442</v>
      </c>
      <c r="C71" s="268" t="s">
        <v>31</v>
      </c>
      <c r="D71" s="265">
        <v>27</v>
      </c>
      <c r="E71" s="265">
        <v>3910</v>
      </c>
      <c r="F71" s="264">
        <f>SUM(E71)</f>
        <v>3910</v>
      </c>
      <c r="G71" s="265">
        <v>2828</v>
      </c>
      <c r="H71" s="265">
        <v>1082</v>
      </c>
      <c r="I71" s="265">
        <v>3910</v>
      </c>
    </row>
    <row r="72" spans="1:9">
      <c r="A72" s="524">
        <v>25</v>
      </c>
      <c r="B72" s="528" t="s">
        <v>443</v>
      </c>
      <c r="C72" s="268" t="s">
        <v>256</v>
      </c>
      <c r="D72" s="265">
        <v>20</v>
      </c>
      <c r="E72" s="265">
        <v>3070</v>
      </c>
      <c r="F72" s="264">
        <f>SUM(E72)</f>
        <v>3070</v>
      </c>
      <c r="G72" s="265">
        <v>2479</v>
      </c>
      <c r="H72" s="265">
        <v>591</v>
      </c>
      <c r="I72" s="265">
        <v>3070</v>
      </c>
    </row>
    <row r="73" spans="1:9">
      <c r="A73" s="525"/>
      <c r="B73" s="530"/>
      <c r="C73" s="268" t="s">
        <v>444</v>
      </c>
      <c r="D73" s="265">
        <v>40</v>
      </c>
      <c r="E73" s="265">
        <v>1788</v>
      </c>
      <c r="F73" s="264">
        <f>SUM(E73)</f>
        <v>1788</v>
      </c>
      <c r="G73" s="265">
        <v>1622</v>
      </c>
      <c r="H73" s="265">
        <v>166</v>
      </c>
      <c r="I73" s="265">
        <v>1788</v>
      </c>
    </row>
    <row r="74" spans="1:9">
      <c r="A74" s="524">
        <v>26</v>
      </c>
      <c r="B74" s="330" t="s">
        <v>445</v>
      </c>
      <c r="C74" s="268" t="s">
        <v>257</v>
      </c>
      <c r="D74" s="265">
        <v>25</v>
      </c>
      <c r="E74" s="265">
        <v>2572</v>
      </c>
      <c r="F74" s="264">
        <f>SUM(E74)</f>
        <v>2572</v>
      </c>
      <c r="G74" s="265">
        <v>2390</v>
      </c>
      <c r="H74" s="265">
        <v>182</v>
      </c>
      <c r="I74" s="265">
        <v>2572</v>
      </c>
    </row>
    <row r="75" spans="1:9">
      <c r="A75" s="525"/>
      <c r="B75" s="332" t="s">
        <v>19</v>
      </c>
      <c r="C75" s="263">
        <v>4</v>
      </c>
      <c r="D75" s="263">
        <f>SUM(D71:D74)</f>
        <v>112</v>
      </c>
      <c r="E75" s="263">
        <f>SUM(E71:E74)</f>
        <v>11340</v>
      </c>
      <c r="F75" s="334"/>
      <c r="G75" s="263">
        <f>SUM(G71:G74)</f>
        <v>9319</v>
      </c>
      <c r="H75" s="263">
        <f>SUM(H71:H74)</f>
        <v>2021</v>
      </c>
      <c r="I75" s="263">
        <f>SUM(I71:I74)</f>
        <v>11340</v>
      </c>
    </row>
    <row r="76" spans="1:9">
      <c r="A76" s="263" t="s">
        <v>554</v>
      </c>
      <c r="B76" s="521" t="s">
        <v>446</v>
      </c>
      <c r="C76" s="522"/>
      <c r="D76" s="522"/>
      <c r="E76" s="522"/>
      <c r="F76" s="522"/>
      <c r="G76" s="522"/>
      <c r="H76" s="522"/>
      <c r="I76" s="523"/>
    </row>
    <row r="77" spans="1:9">
      <c r="A77" s="524">
        <v>27</v>
      </c>
      <c r="B77" s="528" t="s">
        <v>447</v>
      </c>
      <c r="C77" s="268" t="s">
        <v>448</v>
      </c>
      <c r="D77" s="265">
        <v>24</v>
      </c>
      <c r="E77" s="265">
        <v>3569</v>
      </c>
      <c r="F77" s="264">
        <f>SUM(E77)</f>
        <v>3569</v>
      </c>
      <c r="G77" s="265">
        <v>3019</v>
      </c>
      <c r="H77" s="265">
        <v>550</v>
      </c>
      <c r="I77" s="265">
        <v>3569</v>
      </c>
    </row>
    <row r="78" spans="1:9">
      <c r="A78" s="525"/>
      <c r="B78" s="530"/>
      <c r="C78" s="268" t="s">
        <v>449</v>
      </c>
      <c r="D78" s="265">
        <v>11</v>
      </c>
      <c r="E78" s="265">
        <v>1015</v>
      </c>
      <c r="F78" s="264">
        <f>SUM(E78)</f>
        <v>1015</v>
      </c>
      <c r="G78" s="265">
        <v>871</v>
      </c>
      <c r="H78" s="265">
        <v>144</v>
      </c>
      <c r="I78" s="265">
        <v>1015</v>
      </c>
    </row>
    <row r="79" spans="1:9">
      <c r="A79" s="265">
        <v>28</v>
      </c>
      <c r="B79" s="268" t="s">
        <v>450</v>
      </c>
      <c r="C79" s="268" t="s">
        <v>451</v>
      </c>
      <c r="D79" s="265">
        <v>24</v>
      </c>
      <c r="E79" s="265">
        <v>2731</v>
      </c>
      <c r="F79" s="264">
        <f>SUM(E79)</f>
        <v>2731</v>
      </c>
      <c r="G79" s="265">
        <v>2206</v>
      </c>
      <c r="H79" s="265">
        <v>525</v>
      </c>
      <c r="I79" s="265">
        <v>2731</v>
      </c>
    </row>
    <row r="80" spans="1:9">
      <c r="A80" s="524">
        <v>29</v>
      </c>
      <c r="B80" s="528" t="s">
        <v>452</v>
      </c>
      <c r="C80" s="268" t="s">
        <v>453</v>
      </c>
      <c r="D80" s="265">
        <v>29</v>
      </c>
      <c r="E80" s="265">
        <v>2888</v>
      </c>
      <c r="F80" s="264">
        <f>SUM(E80)</f>
        <v>2888</v>
      </c>
      <c r="G80" s="265">
        <v>2684</v>
      </c>
      <c r="H80" s="265">
        <v>204</v>
      </c>
      <c r="I80" s="265">
        <v>2888</v>
      </c>
    </row>
    <row r="81" spans="1:9">
      <c r="A81" s="526"/>
      <c r="B81" s="529"/>
      <c r="C81" s="268" t="s">
        <v>454</v>
      </c>
      <c r="D81" s="265">
        <v>24</v>
      </c>
      <c r="E81" s="265">
        <v>2088</v>
      </c>
      <c r="F81" s="264">
        <f>SUM(E81)</f>
        <v>2088</v>
      </c>
      <c r="G81" s="265">
        <v>1879</v>
      </c>
      <c r="H81" s="265">
        <v>209</v>
      </c>
      <c r="I81" s="265">
        <v>2088</v>
      </c>
    </row>
    <row r="82" spans="1:9">
      <c r="A82" s="525"/>
      <c r="B82" s="530"/>
      <c r="C82" s="263">
        <v>5</v>
      </c>
      <c r="D82" s="263">
        <f>SUM(D77:D81)</f>
        <v>112</v>
      </c>
      <c r="E82" s="263">
        <f>SUM(E77:E81)</f>
        <v>12291</v>
      </c>
      <c r="F82" s="334"/>
      <c r="G82" s="263">
        <f>SUM(G77:G81)</f>
        <v>10659</v>
      </c>
      <c r="H82" s="263">
        <f>SUM(H77:H81)</f>
        <v>1632</v>
      </c>
      <c r="I82" s="263">
        <f>SUM(I77:I81)</f>
        <v>12291</v>
      </c>
    </row>
    <row r="83" spans="1:9">
      <c r="A83" s="263" t="s">
        <v>554</v>
      </c>
      <c r="B83" s="521" t="s">
        <v>455</v>
      </c>
      <c r="C83" s="522"/>
      <c r="D83" s="522"/>
      <c r="E83" s="522"/>
      <c r="F83" s="522"/>
      <c r="G83" s="522"/>
      <c r="H83" s="522"/>
      <c r="I83" s="523"/>
    </row>
    <row r="84" spans="1:9">
      <c r="A84" s="524">
        <v>30</v>
      </c>
      <c r="B84" s="528" t="s">
        <v>456</v>
      </c>
      <c r="C84" s="268" t="s">
        <v>28</v>
      </c>
      <c r="D84" s="265">
        <v>27</v>
      </c>
      <c r="E84" s="265">
        <v>3612</v>
      </c>
      <c r="F84" s="264">
        <f>SUM(E84)</f>
        <v>3612</v>
      </c>
      <c r="G84" s="265">
        <v>3226</v>
      </c>
      <c r="H84" s="265">
        <v>386</v>
      </c>
      <c r="I84" s="265">
        <v>3612</v>
      </c>
    </row>
    <row r="85" spans="1:9">
      <c r="A85" s="525"/>
      <c r="B85" s="530"/>
      <c r="C85" s="268" t="s">
        <v>457</v>
      </c>
      <c r="D85" s="265">
        <v>7</v>
      </c>
      <c r="E85" s="265">
        <v>1192</v>
      </c>
      <c r="F85" s="264">
        <f>SUM(E85)</f>
        <v>1192</v>
      </c>
      <c r="G85" s="265">
        <v>1030</v>
      </c>
      <c r="H85" s="265">
        <v>162</v>
      </c>
      <c r="I85" s="265">
        <v>1192</v>
      </c>
    </row>
    <row r="86" spans="1:9">
      <c r="A86" s="524">
        <v>31</v>
      </c>
      <c r="B86" s="330" t="s">
        <v>458</v>
      </c>
      <c r="C86" s="268" t="s">
        <v>459</v>
      </c>
      <c r="D86" s="265">
        <v>13</v>
      </c>
      <c r="E86" s="265">
        <v>1428</v>
      </c>
      <c r="F86" s="264">
        <f>SUM(E86)</f>
        <v>1428</v>
      </c>
      <c r="G86" s="265">
        <v>1039</v>
      </c>
      <c r="H86" s="265">
        <v>389</v>
      </c>
      <c r="I86" s="265">
        <v>1428</v>
      </c>
    </row>
    <row r="87" spans="1:9">
      <c r="A87" s="525"/>
      <c r="B87" s="331" t="s">
        <v>19</v>
      </c>
      <c r="C87" s="308">
        <v>3</v>
      </c>
      <c r="D87" s="263">
        <f>SUM(D84:D86)</f>
        <v>47</v>
      </c>
      <c r="E87" s="263">
        <f>SUM(E84:E86)</f>
        <v>6232</v>
      </c>
      <c r="F87" s="334"/>
      <c r="G87" s="263">
        <f>SUM(G84:G86)</f>
        <v>5295</v>
      </c>
      <c r="H87" s="263">
        <f>SUM(H84:H86)</f>
        <v>937</v>
      </c>
      <c r="I87" s="263">
        <f>SUM(I84:I86)</f>
        <v>6232</v>
      </c>
    </row>
    <row r="88" spans="1:9">
      <c r="A88" s="263" t="s">
        <v>554</v>
      </c>
      <c r="B88" s="263" t="s">
        <v>555</v>
      </c>
      <c r="C88" s="265"/>
      <c r="D88" s="265"/>
      <c r="E88" s="265"/>
      <c r="F88" s="264"/>
      <c r="G88" s="265"/>
      <c r="H88" s="265"/>
      <c r="I88" s="265"/>
    </row>
    <row r="89" spans="1:9">
      <c r="A89" s="524">
        <v>32</v>
      </c>
      <c r="B89" s="531" t="s">
        <v>460</v>
      </c>
      <c r="C89" s="268" t="s">
        <v>250</v>
      </c>
      <c r="D89" s="265">
        <v>15</v>
      </c>
      <c r="E89" s="265">
        <v>4051</v>
      </c>
      <c r="F89" s="264">
        <f>SUM(E89)</f>
        <v>4051</v>
      </c>
      <c r="G89" s="265">
        <v>3526</v>
      </c>
      <c r="H89" s="265">
        <v>525</v>
      </c>
      <c r="I89" s="265">
        <v>4051</v>
      </c>
    </row>
    <row r="90" spans="1:9">
      <c r="A90" s="526"/>
      <c r="B90" s="531"/>
      <c r="C90" s="268" t="s">
        <v>461</v>
      </c>
      <c r="D90" s="265">
        <v>19</v>
      </c>
      <c r="E90" s="265">
        <v>2405</v>
      </c>
      <c r="F90" s="264">
        <f>SUM(E90)</f>
        <v>2405</v>
      </c>
      <c r="G90" s="265">
        <v>2088</v>
      </c>
      <c r="H90" s="265">
        <v>317</v>
      </c>
      <c r="I90" s="265">
        <v>2405</v>
      </c>
    </row>
    <row r="91" spans="1:9">
      <c r="A91" s="526"/>
      <c r="B91" s="531"/>
      <c r="C91" s="268" t="s">
        <v>462</v>
      </c>
      <c r="D91" s="265">
        <v>10</v>
      </c>
      <c r="E91" s="265">
        <v>1612</v>
      </c>
      <c r="F91" s="264">
        <f>SUM(E91)</f>
        <v>1612</v>
      </c>
      <c r="G91" s="265">
        <v>1370</v>
      </c>
      <c r="H91" s="265">
        <v>242</v>
      </c>
      <c r="I91" s="265">
        <v>1612</v>
      </c>
    </row>
    <row r="92" spans="1:9">
      <c r="A92" s="525"/>
      <c r="B92" s="331" t="s">
        <v>19</v>
      </c>
      <c r="C92" s="263">
        <v>3</v>
      </c>
      <c r="D92" s="263">
        <f>SUM(D89:D91)</f>
        <v>44</v>
      </c>
      <c r="E92" s="263">
        <f>SUM(E89:E91)</f>
        <v>8068</v>
      </c>
      <c r="F92" s="334"/>
      <c r="G92" s="263">
        <f>SUM(G89:G91)</f>
        <v>6984</v>
      </c>
      <c r="H92" s="263">
        <f>SUM(H89:H91)</f>
        <v>1084</v>
      </c>
      <c r="I92" s="263">
        <f>SUM(I89:I91)</f>
        <v>8068</v>
      </c>
    </row>
    <row r="93" spans="1:9">
      <c r="A93" s="263" t="s">
        <v>554</v>
      </c>
      <c r="B93" s="521" t="s">
        <v>463</v>
      </c>
      <c r="C93" s="522"/>
      <c r="D93" s="522"/>
      <c r="E93" s="522"/>
      <c r="F93" s="522"/>
      <c r="G93" s="522"/>
      <c r="H93" s="522"/>
      <c r="I93" s="523"/>
    </row>
    <row r="94" spans="1:9">
      <c r="A94" s="524">
        <v>34</v>
      </c>
      <c r="B94" s="531" t="s">
        <v>464</v>
      </c>
      <c r="C94" s="268" t="s">
        <v>465</v>
      </c>
      <c r="D94" s="265">
        <v>27</v>
      </c>
      <c r="E94" s="265">
        <v>3717</v>
      </c>
      <c r="F94" s="264">
        <f>SUM(E94)</f>
        <v>3717</v>
      </c>
      <c r="G94" s="265">
        <v>2787</v>
      </c>
      <c r="H94" s="265">
        <v>930</v>
      </c>
      <c r="I94" s="265">
        <v>3717</v>
      </c>
    </row>
    <row r="95" spans="1:9">
      <c r="A95" s="526"/>
      <c r="B95" s="531"/>
      <c r="C95" s="268" t="s">
        <v>466</v>
      </c>
      <c r="D95" s="265">
        <v>13</v>
      </c>
      <c r="E95" s="265">
        <v>2609</v>
      </c>
      <c r="F95" s="264">
        <f>SUM(E95)</f>
        <v>2609</v>
      </c>
      <c r="G95" s="265">
        <v>2225</v>
      </c>
      <c r="H95" s="265">
        <v>384</v>
      </c>
      <c r="I95" s="265">
        <v>2609</v>
      </c>
    </row>
    <row r="96" spans="1:9">
      <c r="A96" s="525"/>
      <c r="B96" s="332" t="s">
        <v>19</v>
      </c>
      <c r="C96" s="263">
        <v>2</v>
      </c>
      <c r="D96" s="263">
        <f>SUM(D94:D95)</f>
        <v>40</v>
      </c>
      <c r="E96" s="263">
        <f>SUM(E94:E95)</f>
        <v>6326</v>
      </c>
      <c r="F96" s="334"/>
      <c r="G96" s="263">
        <f>SUM(G94:G95)</f>
        <v>5012</v>
      </c>
      <c r="H96" s="263">
        <f>SUM(H94:H95)</f>
        <v>1314</v>
      </c>
      <c r="I96" s="263">
        <f>SUM(I94:I95)</f>
        <v>6326</v>
      </c>
    </row>
    <row r="97" spans="1:9">
      <c r="A97" s="263" t="s">
        <v>554</v>
      </c>
      <c r="B97" s="521" t="s">
        <v>467</v>
      </c>
      <c r="C97" s="522"/>
      <c r="D97" s="522"/>
      <c r="E97" s="522"/>
      <c r="F97" s="522"/>
      <c r="G97" s="522"/>
      <c r="H97" s="522"/>
      <c r="I97" s="523"/>
    </row>
    <row r="98" spans="1:9">
      <c r="A98" s="524">
        <v>35</v>
      </c>
      <c r="B98" s="528" t="s">
        <v>468</v>
      </c>
      <c r="C98" s="268" t="s">
        <v>469</v>
      </c>
      <c r="D98" s="265">
        <v>37</v>
      </c>
      <c r="E98" s="265">
        <v>3578</v>
      </c>
      <c r="F98" s="264">
        <f>SUM(E98)</f>
        <v>3578</v>
      </c>
      <c r="G98" s="265">
        <v>2972</v>
      </c>
      <c r="H98" s="265">
        <v>606</v>
      </c>
      <c r="I98" s="265">
        <v>3578</v>
      </c>
    </row>
    <row r="99" spans="1:9">
      <c r="A99" s="526"/>
      <c r="B99" s="529"/>
      <c r="C99" s="268" t="s">
        <v>470</v>
      </c>
      <c r="D99" s="265">
        <v>56</v>
      </c>
      <c r="E99" s="265">
        <v>3509</v>
      </c>
      <c r="F99" s="264">
        <f>SUM(E99)</f>
        <v>3509</v>
      </c>
      <c r="G99" s="265">
        <v>2629</v>
      </c>
      <c r="H99" s="265">
        <v>880</v>
      </c>
      <c r="I99" s="265">
        <v>3509</v>
      </c>
    </row>
    <row r="100" spans="1:9">
      <c r="A100" s="513">
        <v>36</v>
      </c>
      <c r="B100" s="333" t="s">
        <v>471</v>
      </c>
      <c r="C100" s="268" t="s">
        <v>472</v>
      </c>
      <c r="D100" s="265">
        <v>23</v>
      </c>
      <c r="E100" s="265">
        <v>2540</v>
      </c>
      <c r="F100" s="264">
        <f>SUM(E100)</f>
        <v>2540</v>
      </c>
      <c r="G100" s="265">
        <v>2097</v>
      </c>
      <c r="H100" s="265">
        <v>443</v>
      </c>
      <c r="I100" s="265">
        <v>2540</v>
      </c>
    </row>
    <row r="101" spans="1:9">
      <c r="A101" s="514"/>
      <c r="B101" s="329" t="s">
        <v>19</v>
      </c>
      <c r="C101" s="263">
        <v>3</v>
      </c>
      <c r="D101" s="263">
        <f>SUM(D98:D100)</f>
        <v>116</v>
      </c>
      <c r="E101" s="263">
        <f>SUM(E98:E100)</f>
        <v>9627</v>
      </c>
      <c r="F101" s="334"/>
      <c r="G101" s="263">
        <f>SUM(G98:G100)</f>
        <v>7698</v>
      </c>
      <c r="H101" s="263">
        <f>SUM(H98:H100)</f>
        <v>1929</v>
      </c>
      <c r="I101" s="263">
        <f>SUM(I98:I100)</f>
        <v>9627</v>
      </c>
    </row>
    <row r="102" spans="1:9">
      <c r="A102" s="263" t="s">
        <v>554</v>
      </c>
      <c r="B102" s="521" t="s">
        <v>473</v>
      </c>
      <c r="C102" s="522"/>
      <c r="D102" s="522"/>
      <c r="E102" s="522"/>
      <c r="F102" s="522"/>
      <c r="G102" s="522"/>
      <c r="H102" s="522"/>
      <c r="I102" s="523"/>
    </row>
    <row r="103" spans="1:9">
      <c r="A103" s="524">
        <v>37</v>
      </c>
      <c r="B103" s="531" t="s">
        <v>474</v>
      </c>
      <c r="C103" s="268" t="s">
        <v>475</v>
      </c>
      <c r="D103" s="265">
        <v>29</v>
      </c>
      <c r="E103" s="265">
        <v>2478</v>
      </c>
      <c r="F103" s="264">
        <f>SUM(E103)</f>
        <v>2478</v>
      </c>
      <c r="G103" s="265">
        <v>2073</v>
      </c>
      <c r="H103" s="265">
        <v>405</v>
      </c>
      <c r="I103" s="265">
        <v>2478</v>
      </c>
    </row>
    <row r="104" spans="1:9">
      <c r="A104" s="526"/>
      <c r="B104" s="531"/>
      <c r="C104" s="268" t="s">
        <v>476</v>
      </c>
      <c r="D104" s="265">
        <v>38</v>
      </c>
      <c r="E104" s="265">
        <v>2673</v>
      </c>
      <c r="F104" s="264">
        <f>SUM(E104)</f>
        <v>2673</v>
      </c>
      <c r="G104" s="265">
        <v>2381</v>
      </c>
      <c r="H104" s="265">
        <v>292</v>
      </c>
      <c r="I104" s="265">
        <v>2673</v>
      </c>
    </row>
    <row r="105" spans="1:9">
      <c r="A105" s="525"/>
      <c r="B105" s="332" t="s">
        <v>19</v>
      </c>
      <c r="C105" s="308">
        <v>2</v>
      </c>
      <c r="D105" s="263">
        <f>SUM(D103:D104)</f>
        <v>67</v>
      </c>
      <c r="E105" s="263">
        <f>SUM(E103:E104)</f>
        <v>5151</v>
      </c>
      <c r="F105" s="334"/>
      <c r="G105" s="263">
        <f>SUM(G103:G104)</f>
        <v>4454</v>
      </c>
      <c r="H105" s="263">
        <f>SUM(H103:H104)</f>
        <v>697</v>
      </c>
      <c r="I105" s="263">
        <f>SUM(I103:I104)</f>
        <v>5151</v>
      </c>
    </row>
    <row r="106" spans="1:9">
      <c r="A106" s="263" t="s">
        <v>554</v>
      </c>
      <c r="B106" s="509" t="s">
        <v>477</v>
      </c>
      <c r="C106" s="533"/>
      <c r="D106" s="533"/>
      <c r="E106" s="533"/>
      <c r="F106" s="533"/>
      <c r="G106" s="533"/>
      <c r="H106" s="533"/>
      <c r="I106" s="510"/>
    </row>
    <row r="107" spans="1:9">
      <c r="A107" s="524">
        <v>38</v>
      </c>
      <c r="B107" s="528" t="s">
        <v>478</v>
      </c>
      <c r="C107" s="268" t="s">
        <v>479</v>
      </c>
      <c r="D107" s="265">
        <v>17</v>
      </c>
      <c r="E107" s="265">
        <v>3179</v>
      </c>
      <c r="F107" s="264">
        <f>SUM(E107)</f>
        <v>3179</v>
      </c>
      <c r="G107" s="265">
        <v>2892</v>
      </c>
      <c r="H107" s="265">
        <v>287</v>
      </c>
      <c r="I107" s="265">
        <v>3179</v>
      </c>
    </row>
    <row r="108" spans="1:9">
      <c r="A108" s="526"/>
      <c r="B108" s="529"/>
      <c r="C108" s="268" t="s">
        <v>249</v>
      </c>
      <c r="D108" s="265">
        <v>11</v>
      </c>
      <c r="E108" s="265">
        <v>2723</v>
      </c>
      <c r="F108" s="264">
        <f>SUM(E108)</f>
        <v>2723</v>
      </c>
      <c r="G108" s="265">
        <v>2585</v>
      </c>
      <c r="H108" s="265">
        <v>138</v>
      </c>
      <c r="I108" s="265">
        <v>2723</v>
      </c>
    </row>
    <row r="109" spans="1:9">
      <c r="A109" s="525"/>
      <c r="B109" s="331" t="s">
        <v>19</v>
      </c>
      <c r="C109" s="263">
        <v>2</v>
      </c>
      <c r="D109" s="263">
        <f>SUM(D107:D108)</f>
        <v>28</v>
      </c>
      <c r="E109" s="263">
        <f>SUM(E107:E108)</f>
        <v>5902</v>
      </c>
      <c r="F109" s="334"/>
      <c r="G109" s="263">
        <f>SUM(G107:G108)</f>
        <v>5477</v>
      </c>
      <c r="H109" s="263">
        <f>SUM(H107:H108)</f>
        <v>425</v>
      </c>
      <c r="I109" s="263">
        <f>SUM(I107:I108)</f>
        <v>5902</v>
      </c>
    </row>
    <row r="110" spans="1:9">
      <c r="A110" s="509" t="s">
        <v>523</v>
      </c>
      <c r="B110" s="533"/>
      <c r="C110" s="510"/>
      <c r="D110" s="263">
        <f>SUM(D5:D109)</f>
        <v>2842</v>
      </c>
      <c r="E110" s="263">
        <f>SUM(E5:E109)</f>
        <v>390778</v>
      </c>
      <c r="F110" s="264">
        <f>SUM(E110)</f>
        <v>390778</v>
      </c>
      <c r="G110" s="263">
        <f>SUM(G5:G109)</f>
        <v>319188</v>
      </c>
      <c r="H110" s="263">
        <f t="shared" ref="H110:I110" si="5">SUM(H5:H109)</f>
        <v>71590</v>
      </c>
      <c r="I110" s="263">
        <f t="shared" si="5"/>
        <v>390778</v>
      </c>
    </row>
    <row r="111" spans="1:9">
      <c r="A111" s="532" t="s">
        <v>544</v>
      </c>
      <c r="B111" s="532"/>
      <c r="C111" s="532"/>
      <c r="D111" s="532"/>
    </row>
  </sheetData>
  <mergeCells count="80">
    <mergeCell ref="B76:I76"/>
    <mergeCell ref="B83:I83"/>
    <mergeCell ref="B93:I93"/>
    <mergeCell ref="B97:I97"/>
    <mergeCell ref="B102:I102"/>
    <mergeCell ref="B7:I7"/>
    <mergeCell ref="B14:I14"/>
    <mergeCell ref="B25:I25"/>
    <mergeCell ref="B35:I35"/>
    <mergeCell ref="B45:I45"/>
    <mergeCell ref="A98:A99"/>
    <mergeCell ref="B98:B99"/>
    <mergeCell ref="A100:A101"/>
    <mergeCell ref="A111:D111"/>
    <mergeCell ref="A103:A105"/>
    <mergeCell ref="A107:A109"/>
    <mergeCell ref="A110:C110"/>
    <mergeCell ref="B106:I106"/>
    <mergeCell ref="B103:B104"/>
    <mergeCell ref="B107:B108"/>
    <mergeCell ref="A86:A87"/>
    <mergeCell ref="A89:A92"/>
    <mergeCell ref="A94:A96"/>
    <mergeCell ref="B89:B91"/>
    <mergeCell ref="B94:B95"/>
    <mergeCell ref="A77:A78"/>
    <mergeCell ref="B77:B78"/>
    <mergeCell ref="A80:A82"/>
    <mergeCell ref="B80:B82"/>
    <mergeCell ref="A84:A85"/>
    <mergeCell ref="B84:B85"/>
    <mergeCell ref="A68:A69"/>
    <mergeCell ref="A72:A73"/>
    <mergeCell ref="B72:B73"/>
    <mergeCell ref="A74:A75"/>
    <mergeCell ref="B70:I70"/>
    <mergeCell ref="A56:A59"/>
    <mergeCell ref="A61:A63"/>
    <mergeCell ref="B61:B63"/>
    <mergeCell ref="A66:A67"/>
    <mergeCell ref="B66:B67"/>
    <mergeCell ref="B60:I60"/>
    <mergeCell ref="B56:B58"/>
    <mergeCell ref="A46:A47"/>
    <mergeCell ref="B46:B47"/>
    <mergeCell ref="A48:A50"/>
    <mergeCell ref="B48:B50"/>
    <mergeCell ref="A52:A55"/>
    <mergeCell ref="B52:B55"/>
    <mergeCell ref="B51:I51"/>
    <mergeCell ref="A42:A44"/>
    <mergeCell ref="A33:A34"/>
    <mergeCell ref="A28:A30"/>
    <mergeCell ref="B28:B30"/>
    <mergeCell ref="A37:A39"/>
    <mergeCell ref="B37:B39"/>
    <mergeCell ref="A40:A41"/>
    <mergeCell ref="B40:B41"/>
    <mergeCell ref="B42:B43"/>
    <mergeCell ref="A19:A22"/>
    <mergeCell ref="A23:A24"/>
    <mergeCell ref="A26:A27"/>
    <mergeCell ref="B26:B27"/>
    <mergeCell ref="B19:B22"/>
    <mergeCell ref="A8:A11"/>
    <mergeCell ref="B8:B11"/>
    <mergeCell ref="A12:A13"/>
    <mergeCell ref="A15:A18"/>
    <mergeCell ref="B15:B18"/>
    <mergeCell ref="A1:I1"/>
    <mergeCell ref="G2:H2"/>
    <mergeCell ref="E5:F5"/>
    <mergeCell ref="A2:A3"/>
    <mergeCell ref="B2:B3"/>
    <mergeCell ref="C2:C3"/>
    <mergeCell ref="D2:D3"/>
    <mergeCell ref="E2:F3"/>
    <mergeCell ref="I2:I3"/>
    <mergeCell ref="B4:I4"/>
    <mergeCell ref="A5:A6"/>
  </mergeCells>
  <pageMargins left="0.81" right="0.32" top="0.53" bottom="0.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P-1</vt:lpstr>
      <vt:lpstr>P-2</vt:lpstr>
      <vt:lpstr>P-3</vt:lpstr>
      <vt:lpstr>p-4</vt:lpstr>
      <vt:lpstr>P-5</vt:lpstr>
      <vt:lpstr>P-6</vt:lpstr>
      <vt:lpstr>P-7</vt:lpstr>
      <vt:lpstr>P-8</vt:lpstr>
      <vt:lpstr>p-9</vt:lpstr>
      <vt:lpstr>p-10</vt:lpstr>
      <vt:lpstr>p-11</vt:lpstr>
      <vt:lpstr>p-12</vt:lpstr>
      <vt:lpstr>p-13</vt:lpstr>
      <vt:lpstr>p-14</vt:lpstr>
      <vt:lpstr>p-15</vt:lpstr>
      <vt:lpstr>p-16</vt:lpstr>
      <vt:lpstr>p-17Live Birth Rural</vt:lpstr>
      <vt:lpstr>p-17Live birth Urban</vt:lpstr>
      <vt:lpstr>p-18A</vt:lpstr>
      <vt:lpstr>p-18B</vt:lpstr>
      <vt:lpstr>p-19</vt:lpstr>
      <vt:lpstr>p-20</vt:lpstr>
      <vt:lpstr>p-21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Gender</cp:lastModifiedBy>
  <cp:lastPrinted>2022-09-20T07:22:59Z</cp:lastPrinted>
  <dcterms:created xsi:type="dcterms:W3CDTF">2016-03-08T05:51:00Z</dcterms:created>
  <dcterms:modified xsi:type="dcterms:W3CDTF">2010-12-31T18:48:27Z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1033-9.1.0.4674</vt:lpwstr>
  </property>
</Properties>
</file>